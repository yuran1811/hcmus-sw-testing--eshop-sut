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nts" sheetId="1" r:id="rId5"/>
    <sheet state="visible" name="Hướng dẫn" sheetId="2" r:id="rId6"/>
    <sheet state="visible" name="P01" sheetId="3" r:id="rId7"/>
    <sheet state="visible" name="P02" sheetId="4" r:id="rId8"/>
    <sheet state="visible" name="P03" sheetId="5" r:id="rId9"/>
    <sheet state="visible" name="P04" sheetId="6" r:id="rId10"/>
    <sheet state="visible" name="P05" sheetId="7" r:id="rId11"/>
    <sheet state="visible" name="P06" sheetId="8" r:id="rId12"/>
    <sheet state="visible" name="P07" sheetId="9" r:id="rId13"/>
    <sheet state="visible" name="Probe Questions" sheetId="10" r:id="rId14"/>
    <sheet state="visible" name="Session Log" sheetId="11" r:id="rId15"/>
    <sheet state="visible" name="Bugs &amp; Findings" sheetId="12" r:id="rId16"/>
    <sheet state="visible" name="Summary" sheetId="13" r:id="rId17"/>
  </sheets>
  <definedNames/>
  <calcPr/>
</workbook>
</file>

<file path=xl/sharedStrings.xml><?xml version="1.0" encoding="utf-8"?>
<sst xmlns="http://schemas.openxmlformats.org/spreadsheetml/2006/main" count="552" uniqueCount="190">
  <si>
    <t>NHẬT KÝ PHIÊN KIỂM THỬ KHẢ DỤNG - NGƯỜI DÙNG P01</t>
  </si>
  <si>
    <t>Participant ID</t>
  </si>
  <si>
    <t>NHẬT KÝ PHIÊN KIỂM THỬ KHẢ DỤNG - NGƯỜI DÙNG P02</t>
  </si>
  <si>
    <t>HƯỚNG DẪN TRẢI NGHIỆM HỆ THỐNG (USABILITY TESTING)</t>
  </si>
  <si>
    <t>Mã câu hỏi</t>
  </si>
  <si>
    <t>Họ và tên</t>
  </si>
  <si>
    <t>Nội dung câu hỏi đánh giá SUS</t>
  </si>
  <si>
    <t>Số điện thoại</t>
  </si>
  <si>
    <t>Điểm đánh giá (1-5)</t>
  </si>
  <si>
    <t>Loại (IT/Non-IT)</t>
  </si>
  <si>
    <t>Q1</t>
  </si>
  <si>
    <t>Độ tuổi</t>
  </si>
  <si>
    <t>Xác nhận không thuộc lớp HW03</t>
  </si>
  <si>
    <t>Tôi nghĩ rằng tôi muốn sử dụng hệ thống này thường xuyên.</t>
  </si>
  <si>
    <t>Chào bạn, rất cảm ơn bạn đã dành chút thời gian tham gia buổi trải nghiệm hôm nay nhé!</t>
  </si>
  <si>
    <t>P01</t>
  </si>
  <si>
    <t>Nguyễn Thiên Phúc</t>
  </si>
  <si>
    <t>0941***266</t>
  </si>
  <si>
    <t>P02</t>
  </si>
  <si>
    <t>IT</t>
  </si>
  <si>
    <t>📌</t>
  </si>
  <si>
    <t>Q2</t>
  </si>
  <si>
    <t>Tôi thấy hệ thống này quá phức tạp một cách không cần thiết.</t>
  </si>
  <si>
    <t>Nhiệm vụ của bạn (Task Flow):</t>
  </si>
  <si>
    <t>Thời gian bắt đầu</t>
  </si>
  <si>
    <t>Đăng nhập  ➔  Quên mật khẩu  ➔  Đặt lại mật khẩu mới (2 bước: Nhập email &amp; OTP)  ➔  Đăng nhập lại</t>
  </si>
  <si>
    <t>Q3</t>
  </si>
  <si>
    <t>Ân Tiến Nguyên Khang</t>
  </si>
  <si>
    <t>Tôi thấy hệ thống này dễ sử dụng.</t>
  </si>
  <si>
    <t>0367***031</t>
  </si>
  <si>
    <t>Non-IT</t>
  </si>
  <si>
    <t>Thời gian kết thúc</t>
  </si>
  <si>
    <t>Q4</t>
  </si>
  <si>
    <t>Tôi nghĩ rằng tôi sẽ cần sự hỗ trợ của nhân viên kỹ thuật để có thể sử dụng hệ thống.</t>
  </si>
  <si>
    <t>💡</t>
  </si>
  <si>
    <t>Phương pháp nói to suy nghĩ (Think-Aloud):</t>
  </si>
  <si>
    <t>P03</t>
  </si>
  <si>
    <t>Hoàn thành task (Y/N)</t>
  </si>
  <si>
    <t>N</t>
  </si>
  <si>
    <t>Trầm Hữu Nhân</t>
  </si>
  <si>
    <t>Q5</t>
  </si>
  <si>
    <t>0559***421</t>
  </si>
  <si>
    <t>Trong lúc làm, nhờ bạn nói to ra những gì mình đang nghĩ trong đầu nhé (ví dụ: đang tìm nút nào, phân vân vì điều gì, hay không chắc chỗ này bấm vào sẽ dẫn đi đâu...). Có bất kỳ suy nghĩ hay cảm xúc gì bạn cứ thoải mái nói ra nha.</t>
  </si>
  <si>
    <t>Tôi thấy các chức năng của hệ thống được tích hợp rất tốt.</t>
  </si>
  <si>
    <t>Số lần cần trợ giúp</t>
  </si>
  <si>
    <t>Tụi mình đang đánh giá sản phẩm chứ không kiểm tra bạn, nên hoàn toàn không có đúng hay sai đâu nha.</t>
  </si>
  <si>
    <t>Q6</t>
  </si>
  <si>
    <t>P04</t>
  </si>
  <si>
    <t>Tôi thấy hệ thống này có quá nhiều sự thiếu nhất quán</t>
  </si>
  <si>
    <t>Mạch Quốc Tấn</t>
  </si>
  <si>
    <t>🔗</t>
  </si>
  <si>
    <t>0934***328</t>
  </si>
  <si>
    <t>Đường dẫn Website kiểm thử (SUT Link):</t>
  </si>
  <si>
    <t>Q7</t>
  </si>
  <si>
    <t>Tôi nghĩ rằng hầu hết mọi người có thể học cách sử dụng hệ thống này rất nhanh.</t>
  </si>
  <si>
    <t>https://eshop-sut-23127148.vercel.app</t>
  </si>
  <si>
    <t>Odd Item Sum</t>
  </si>
  <si>
    <t>P05</t>
  </si>
  <si>
    <t>Nguyễn Hiền Tuấn Anh</t>
  </si>
  <si>
    <t>0772***222</t>
  </si>
  <si>
    <t>P06</t>
  </si>
  <si>
    <t>Nguyễn Lê Hồ Anh Khoa</t>
  </si>
  <si>
    <t>0946***515</t>
  </si>
  <si>
    <t>P07</t>
  </si>
  <si>
    <t>Nguyễn Tuấn Anh</t>
  </si>
  <si>
    <t>0365***674</t>
  </si>
  <si>
    <t>Q8</t>
  </si>
  <si>
    <t>Tôi thấy hệ thống này rất cồng kềnh/khó sử dụng.</t>
  </si>
  <si>
    <t>Even Item Sum</t>
  </si>
  <si>
    <t>Q9</t>
  </si>
  <si>
    <t>Tôi cảm thấy rất tự tin khi sử dụng hệ thống.</t>
  </si>
  <si>
    <t>SUS Score</t>
  </si>
  <si>
    <t>Q10</t>
  </si>
  <si>
    <t>Tôi cần phải học rất nhiều thứ trước khi có thể bắt đầu sử dụng hệ thống.</t>
  </si>
  <si>
    <t>2. CÂU HỎI ĐÀO SÂU (PROBE QUESTIONS)</t>
  </si>
  <si>
    <t>⚠️</t>
  </si>
  <si>
    <t>Lưu ý quan trọng sau khi hoàn thành:</t>
  </si>
  <si>
    <t>Câu trả lời nguyên văn (verbatim)</t>
  </si>
  <si>
    <t>Clarity (Sự rõ ràng)</t>
  </si>
  <si>
    <t>Bạn có hiểu mình cần phải làm gì ở mỗi bước không? Bước nào rõ ràng/mù mờ nhất?</t>
  </si>
  <si>
    <t>Sau khi hoàn thành luồng, bạn vui lòng chọn đúng tab mang tên mình ở thanh bên dưới (P01 đến P07):
- Điền Phần 1 (10 câu đánh giá SUS) vào cột C.
- Điền Phần 2 (4 câu hỏi cảm nhận) vào cột C.
- Vui lòng KHÔNG sửa đổi bất kỳ phần nào khác của trang tính nhé.</t>
  </si>
  <si>
    <t xml:space="preserve">Hiểu. Nhưng lúc đổi mật khẩu không có chức năng bật /tắt hiện thị mật khẩu nên khó kiểm tra mật khẩu, nên có thêm điền 2 lần mật khẩu để kiểm tra. Lỗi hiện thị lúc đăng nhập ( hiện thị là đăng kí dù bấm vào đăng nhập). Thiếu chức hiện thị màu để kiểm tra độ mạnh yếu của mặt khẩu </t>
  </si>
  <si>
    <t>Account: test@eshop.com</t>
  </si>
  <si>
    <t xml:space="preserve">1: Hoàn toàn không đồng ý </t>
  </si>
  <si>
    <t>Bước nào rõ ràng nhất và bước nào mơ hồ/khó hiểu nhất với bạn?</t>
  </si>
  <si>
    <t>2: Không đồng ý</t>
  </si>
  <si>
    <t>bước nhận Mã OTP dễ hiểu  và khó hiểu là bước đặt lại mật khẩu để thoả điều kiện mật khẩu</t>
  </si>
  <si>
    <t>3: Trung lập / Bình thường</t>
  </si>
  <si>
    <t>Error Recovery (Sửa lỗi)</t>
  </si>
  <si>
    <t>4: Đồng ý</t>
  </si>
  <si>
    <t>Khi nhập sai (email, OTP, pass), hệ thống phản hồi ra sao?</t>
  </si>
  <si>
    <t xml:space="preserve">5: Hoàn toàn đồng ý </t>
  </si>
  <si>
    <t xml:space="preserve">Thông báo nhập sai, không tồn tại </t>
  </si>
  <si>
    <t>Bạn có hiểu rõ nội dung thông báo lỗi đó và biết cách sửa cho đúng không?</t>
  </si>
  <si>
    <t>Hiểu lỗi nhưng không đổi được mật khẩu (điều kiện của mật khẩu)</t>
  </si>
  <si>
    <t>Speed (Tốc độ)</t>
  </si>
  <si>
    <t>Bạn có thấy quá trình đặt lại mật khẩu diễn ra nhanh không?</t>
  </si>
  <si>
    <t>Chỉ có bước tạo lại mật khẩu quá mù mờ. Hệ thống không nói mật khẩu thiếu điều kiện ở chỗ nào nên người dùng không biết đặt mật khẩu đúng</t>
  </si>
  <si>
    <t>Không đổi được mật khẩu</t>
  </si>
  <si>
    <t>Bước nào trong luồng này làm bạn tốn thời gian nhiều nhất?</t>
  </si>
  <si>
    <t>Đặt mật khẩu</t>
  </si>
  <si>
    <t>Trust (Độ tin cậy)</t>
  </si>
  <si>
    <t>Bước đăng nhập khá rõ ràng. Bước đặt lại mật khẩu quá mơ hồ</t>
  </si>
  <si>
    <t>Đổi mật khẩu xong, bạn có tin rằng mật khẩu của mình đã thực sự được đổi thành công không?</t>
  </si>
  <si>
    <t>hệ thống báo người dùng ko tồn tại khi nhập sai email, nhập đúng email thì gửi luôn mã otp trên web</t>
  </si>
  <si>
    <t>Tại sao bạn lại tin tưởng hoặc nghi ngờ điều đó?</t>
  </si>
  <si>
    <t>Không hiểu</t>
  </si>
  <si>
    <t>Không nhanh và không cụ thể</t>
  </si>
  <si>
    <t>Bước đặt lại mật khẩu</t>
  </si>
  <si>
    <t>Không</t>
  </si>
  <si>
    <t>Vì hệ thống luôn báo mật khẩu quá yếu</t>
  </si>
  <si>
    <t>Hiểu. Để đặt mật khẩu mới khi
quên mật khẩu thì tôi cần đăng 
nhập vào email -&gt; nhập OTP -&gt; 
thiết lập mật khẩu mới</t>
  </si>
  <si>
    <t>Bước nhập mã OTP dễ hiểu vì hiển
ứng dụng hiển thị rõ ràng, còn ở
bước đặt mật khẩu mới thì không 
hiểu tại sao bị lỗi</t>
  </si>
  <si>
    <t>Thông báo nhập k hợp lệ</t>
  </si>
  <si>
    <t>Có. Phải tuân theo các nguyên 
tắc đặt mật khẩu ở trên thông báo</t>
  </si>
  <si>
    <t>Có</t>
  </si>
  <si>
    <t>Đặt mật khẩu mới vì phải 
đúng theo các nguyên tắc</t>
  </si>
  <si>
    <t>Vì tôi không thể thiết lập mật
khẩu mới</t>
  </si>
  <si>
    <t>Tôi thấy minh biết cần làm gì nhờ các hiển thị trên website, bước nhập lại mật khẩu mới làm tôi thấy phân vân sao nhập đúng rồi mà vẫn không được</t>
  </si>
  <si>
    <t>Bước nhập mật khẩu mới khiến tôi khó hiểu nhất</t>
  </si>
  <si>
    <t>Tôi quên luôn mật khẩu nên chưa có dịp để kiểm tra cái này</t>
  </si>
  <si>
    <t>Chưa có cơ hội được thấy</t>
  </si>
  <si>
    <t>Tôi thấy cũng nhanh mà bị vấn đề là không đặt lại mật khẩu mới được làm tôi mất thời gian tìm kĩ thuật hỗ trợ</t>
  </si>
  <si>
    <t>Bước nhập mất khẩu mới</t>
  </si>
  <si>
    <t>Tôi chưa thực hiện được việc đổi mật khẩu thành công</t>
  </si>
  <si>
    <t>Tôi thấy tôi đổi mật khẩu không được do cứ báo lỗi mật khẩu yếu</t>
  </si>
  <si>
    <t>Clarity</t>
  </si>
  <si>
    <t>Error Recovery</t>
  </si>
  <si>
    <t>Speed</t>
  </si>
  <si>
    <t>Trust</t>
  </si>
  <si>
    <t>Hiểu quả trình làm ở quy trình Quên mật khẩu do đã tiếp xúc rất nhiều trang web</t>
  </si>
  <si>
    <t>Quy trình Quên mật khẩu rõ ràng nhập Email để trả về OTP, nhưng còn mơ hồ là OTP hiện thẳng lên UI</t>
  </si>
  <si>
    <t>Pop-up hệ thống hiện ra để người dùng chỉnh sửa liền</t>
  </si>
  <si>
    <t>Hiểu rõ nội dung</t>
  </si>
  <si>
    <t>Không do nhập kiểu nào cũng không cho đổi</t>
  </si>
  <si>
    <t>Hiểu, quy trình khá đơn giản</t>
  </si>
  <si>
    <t>Nhập mật khẩu mới</t>
  </si>
  <si>
    <t>các bước khá rõ ràng, không cần làm rõ</t>
  </si>
  <si>
    <t xml:space="preserve">Không </t>
  </si>
  <si>
    <t>mình thấy các bước rõ ràng, không có bước nào mơ hồ</t>
  </si>
  <si>
    <t>Tại sao OTP không gửi về email mà hiện lên màn hình</t>
  </si>
  <si>
    <t>Tại vì không đổi được mật khẩu dù đặt theo quy định rồi</t>
  </si>
  <si>
    <t>khi sai email mình thấy hệ thống có báo không tìm thấy user, đúng ý mình</t>
  </si>
  <si>
    <t>Tôi chưa thử nên không biết</t>
  </si>
  <si>
    <t>mình có</t>
  </si>
  <si>
    <t>có, quá trình nhanh chóng</t>
  </si>
  <si>
    <t>Không, do tôi không nhập mật khẩu mới được mặc dù đã điền đúng quy định</t>
  </si>
  <si>
    <t>bước đặt lại mật khẩu, cần phải biết là mật khẩu phải thoả mãn validation</t>
  </si>
  <si>
    <t>Bước nhập mật khẩu mới</t>
  </si>
  <si>
    <t>mình không chắc, tại web lỗi không validate mật khẩu được</t>
  </si>
  <si>
    <t>Tôi không biết, tôi không thể thực hiện bước tiếp theo</t>
  </si>
  <si>
    <t>tại vì mình không validate được mật khẩu dù đã đúng các tiêu chí web cảnh báo</t>
  </si>
  <si>
    <t>Tôi nhập đúng quy định nhưng hệ thống không xác nhận</t>
  </si>
  <si>
    <t>Thời lượng (phút)</t>
  </si>
  <si>
    <t>Hoàn thành task</t>
  </si>
  <si>
    <t>Ghi chú friction point chính</t>
  </si>
  <si>
    <t>Bug ID</t>
  </si>
  <si>
    <t>Mô tả</t>
  </si>
  <si>
    <t>BẢNG TỔNG HỢP KẾT QUẢ USABILITY TESTING</t>
  </si>
  <si>
    <t>Participant(s) liên quan</t>
  </si>
  <si>
    <t>Loại (Isolated Bug/Systemic Issue)</t>
  </si>
  <si>
    <t>Mức độ (Blocker/Major/Minor)</t>
  </si>
  <si>
    <t>Họ và tên:</t>
  </si>
  <si>
    <t>Link GitHub Issue</t>
  </si>
  <si>
    <t>Ân Tiến Nguyên An</t>
  </si>
  <si>
    <t>Link Screenshot</t>
  </si>
  <si>
    <t>MSSV:</t>
  </si>
  <si>
    <t>BUG-FORGOT-006</t>
  </si>
  <si>
    <t>Regex kiểm tra mật khẩu mới bắt buộc phải chứa khoảng trắng (\s) thay vì ký tự đặc biệt, khiến tất cả người dùng không thể đổi mật khẩu mặc dù đã nhập đúng quy chuẩn bảo mật (chữ hoa, chữ thường, số, ký tự đặc biệt).</t>
  </si>
  <si>
    <t>Lớp:</t>
  </si>
  <si>
    <t>23KTPM3</t>
  </si>
  <si>
    <t>Link website:</t>
  </si>
  <si>
    <t>P01, P02, P03, P04, P05, P06, P07</t>
  </si>
  <si>
    <t>Systemic Issue</t>
  </si>
  <si>
    <t>Blocker</t>
  </si>
  <si>
    <t>https://github.com/yuran1811/hcmus-sw-testing--eshop-sut/issues/6</t>
  </si>
  <si>
    <t>Luồng kiểm thử:</t>
  </si>
  <si>
    <t>https://github.com/yuran1811/hcmus-sw-testing--eshop-sut/blob/main/HW3/Task1_GUI/Evidences/GUI-FORGOT-IA02-10.png</t>
  </si>
  <si>
    <t>Task scenario:</t>
  </si>
  <si>
    <t>Thời gian hoàn thành</t>
  </si>
  <si>
    <t>Không đổi được mật khẩu do lỗi Regex validate</t>
  </si>
  <si>
    <t>BUG-FORGOT-005</t>
  </si>
  <si>
    <t>Form đổi mật khẩu ở Bước 2 thiếu trường "Xác nhận mật khẩu mới", đồng thời nhãn nhập OTP hiển thị sai thông tin "Mã OTP (4 số)" trong khi thực tế mã OTP gồm 6 chữ số.</t>
  </si>
  <si>
    <t>P02, P03, P04, P05, P06, P07</t>
  </si>
  <si>
    <t>Major</t>
  </si>
  <si>
    <t>https://github.com/yuran1811/hcmus-sw-testing--eshop-sut/issues/5</t>
  </si>
  <si>
    <t>https://github.com/yuran1811/hcmus-sw-testing--eshop-sut/blob/main/HW3/Task1_GUI/Evidences/GUI-FORGOT-IA02-05.png</t>
  </si>
  <si>
    <t>Điểm SUS Trung bình:</t>
  </si>
  <si>
    <t>Đánh giá Định tính (Adjective):</t>
  </si>
  <si>
    <t>Khả năng Chấp nhận (Acceptability):</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</si>
</sst>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4.0"/>
      <color theme="1"/>
      <name val="Arial"/>
      <scheme val="minor"/>
    </font>
    <font>
      <b/>
      <sz val="13.0"/>
      <color theme="1"/>
      <name val="Arial"/>
      <scheme val="minor"/>
    </font>
    <font>
      <b/>
      <color theme="1"/>
      <name val="Arial"/>
      <scheme val="minor"/>
    </font>
    <font>
      <b/>
      <sz val="16.0"/>
      <color rgb="FF1E4F77"/>
      <name val="Arial"/>
      <scheme val="minor"/>
    </font>
    <font>
      <color theme="1"/>
      <name val="Arial"/>
      <scheme val="minor"/>
    </font>
    <font>
      <b/>
      <sz val="11.0"/>
      <color theme="1"/>
      <name val="Arial"/>
      <scheme val="minor"/>
    </font>
    <font>
      <b/>
      <color rgb="FF333333"/>
      <name val="Arial"/>
      <scheme val="minor"/>
    </font>
    <font>
      <u/>
      <color rgb="FF0000FF"/>
    </font>
    <font>
      <b/>
      <sz val="11.0"/>
      <color rgb="FFCC0000"/>
      <name val="Arial"/>
      <scheme val="minor"/>
    </font>
    <font>
      <b/>
      <sz val="12.0"/>
      <color theme="1"/>
      <name val="Arial"/>
      <scheme val="minor"/>
    </font>
    <font>
      <u/>
      <color rgb="FF0000FF"/>
    </font>
  </fonts>
  <fills count="3">
    <fill>
      <patternFill patternType="none"/>
    </fill>
    <fill>
      <patternFill patternType="lightGray"/>
    </fill>
    <fill>
      <patternFill patternType="solid">
        <fgColor rgb="FFF4EFD8"/>
        <bgColor rgb="FFF4EFD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readingOrder="0"/>
    </xf>
    <xf borderId="1" fillId="0" fontId="3" numFmtId="0" xfId="0" applyAlignment="1" applyBorder="1" applyFont="1">
      <alignment horizontal="center" readingOrder="0"/>
    </xf>
    <xf borderId="0" fillId="0" fontId="4" numFmtId="0" xfId="0" applyAlignment="1" applyFont="1">
      <alignment readingOrder="0" shrinkToFit="0" vertical="center" wrapText="1"/>
    </xf>
    <xf borderId="0" fillId="0" fontId="5" numFmtId="0" xfId="0" applyAlignment="1" applyFont="1">
      <alignment shrinkToFit="0" vertical="center" wrapText="1"/>
    </xf>
    <xf borderId="1" fillId="0" fontId="5" numFmtId="0" xfId="0" applyAlignment="1" applyBorder="1" applyFont="1">
      <alignment horizontal="center" readingOrder="0"/>
    </xf>
    <xf borderId="0" fillId="0" fontId="5" numFmtId="0" xfId="0" applyAlignment="1" applyFont="1">
      <alignment readingOrder="0" shrinkToFit="0" vertical="center" wrapText="1"/>
    </xf>
    <xf borderId="0" fillId="0" fontId="5" numFmtId="0" xfId="0" applyAlignment="1" applyFont="1">
      <alignment readingOrder="0"/>
    </xf>
    <xf borderId="0" fillId="0" fontId="1" numFmtId="0" xfId="0" applyAlignment="1" applyFont="1">
      <alignment horizontal="center" readingOrder="0" vertical="center"/>
    </xf>
    <xf borderId="1" fillId="0" fontId="5" numFmtId="0" xfId="0" applyAlignment="1" applyBorder="1" applyFont="1">
      <alignment readingOrder="0"/>
    </xf>
    <xf borderId="0" fillId="0" fontId="6" numFmtId="0" xfId="0" applyAlignment="1" applyFont="1">
      <alignment readingOrder="0" shrinkToFit="0" vertical="center" wrapText="1"/>
    </xf>
    <xf borderId="0" fillId="0" fontId="5" numFmtId="20" xfId="0" applyAlignment="1" applyFont="1" applyNumberFormat="1">
      <alignment readingOrder="0"/>
    </xf>
    <xf borderId="0" fillId="2" fontId="7" numFmtId="0" xfId="0" applyAlignment="1" applyFill="1" applyFont="1">
      <alignment readingOrder="0" shrinkToFit="0" vertical="center" wrapText="1"/>
    </xf>
    <xf borderId="0" fillId="0" fontId="5" numFmtId="0" xfId="0" applyFont="1"/>
    <xf borderId="0" fillId="0" fontId="5" numFmtId="0" xfId="0" applyAlignment="1" applyFont="1">
      <alignment horizontal="center" readingOrder="0"/>
    </xf>
    <xf borderId="0" fillId="0" fontId="8" numFmtId="0" xfId="0" applyAlignment="1" applyFont="1">
      <alignment readingOrder="0"/>
    </xf>
    <xf borderId="1" fillId="0" fontId="3" numFmtId="0" xfId="0" applyAlignment="1" applyBorder="1" applyFont="1">
      <alignment horizontal="center"/>
    </xf>
    <xf borderId="0" fillId="0" fontId="9" numFmtId="0" xfId="0" applyAlignment="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wrapText="1"/>
    </xf>
    <xf borderId="0" fillId="0" fontId="5" numFmtId="0" xfId="0" applyAlignment="1" applyFont="1">
      <alignment readingOrder="0"/>
    </xf>
    <xf borderId="1" fillId="0" fontId="5" numFmtId="0" xfId="0" applyAlignment="1" applyBorder="1" applyFont="1">
      <alignment horizontal="center" shrinkToFit="0" wrapText="1"/>
    </xf>
    <xf borderId="1" fillId="0" fontId="3" numFmtId="0" xfId="0" applyAlignment="1" applyBorder="1" applyFont="1">
      <alignment horizontal="center" readingOrder="0" shrinkToFit="0" wrapText="1"/>
    </xf>
    <xf borderId="0" fillId="0" fontId="10" numFmtId="0" xfId="0" applyAlignment="1" applyFont="1">
      <alignment horizontal="center" readingOrder="0"/>
    </xf>
    <xf borderId="1" fillId="0" fontId="5" numFmtId="20" xfId="0" applyAlignment="1" applyBorder="1" applyFont="1" applyNumberFormat="1">
      <alignment horizontal="center"/>
    </xf>
    <xf borderId="0" fillId="0" fontId="3" numFmtId="0" xfId="0" applyAlignment="1" applyFont="1">
      <alignment readingOrder="0"/>
    </xf>
    <xf borderId="1" fillId="0" fontId="5" numFmtId="0" xfId="0" applyAlignment="1" applyBorder="1" applyFont="1">
      <alignment readingOrder="0" shrinkToFit="0" wrapText="1"/>
    </xf>
    <xf borderId="1" fillId="0" fontId="5" numFmtId="3" xfId="0" applyAlignment="1" applyBorder="1" applyFont="1" applyNumberFormat="1">
      <alignment horizontal="center"/>
    </xf>
    <xf borderId="1" fillId="0" fontId="11" numFmtId="0" xfId="0" applyAlignment="1" applyBorder="1" applyFont="1">
      <alignment readingOrder="0"/>
    </xf>
    <xf borderId="1" fillId="0" fontId="5" numFmtId="0" xfId="0" applyAlignment="1" applyBorder="1" applyFont="1">
      <alignment horizontal="center"/>
    </xf>
    <xf borderId="0" fillId="0" fontId="5" numFmtId="0" xfId="0" applyAlignment="1" applyFont="1">
      <alignment horizontal="center"/>
    </xf>
    <xf borderId="0" fillId="0" fontId="5" numFmtId="3" xfId="0" applyAlignment="1" applyFont="1" applyNumberFormat="1">
      <alignment horizontal="center"/>
    </xf>
    <xf borderId="1" fillId="0" fontId="5" numFmtId="0" xfId="0" applyBorder="1" applyFont="1"/>
  </cellXfs>
  <cellStyles count="1">
    <cellStyle xfId="0" name="Normal" builtinId="0"/>
  </cellStyles>
  <dxfs count="2">
    <dxf>
      <font/>
      <fill>
        <patternFill patternType="solid">
          <fgColor rgb="FFE2EFD8"/>
          <bgColor rgb="FFE2EFD8"/>
        </patternFill>
      </fill>
      <border/>
    </dxf>
    <dxf>
      <font/>
      <fill>
        <patternFill patternType="solid">
          <fgColor rgb="FFF9DBDB"/>
          <bgColor rgb="FFF9DBD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shop-sut-23127148.vercel.ap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yuran1811/hcmus-sw-testing--eshop-sut/issues/6" TargetMode="External"/><Relationship Id="rId2" Type="http://schemas.openxmlformats.org/officeDocument/2006/relationships/hyperlink" Target="https://github.com/yuran1811/hcmus-sw-testing--eshop-sut/blob/main/HW3/Task1_GUI/Evidences/GUI-FORGOT-IA02-10.png" TargetMode="External"/><Relationship Id="rId3" Type="http://schemas.openxmlformats.org/officeDocument/2006/relationships/hyperlink" Target="https://github.com/yuran1811/hcmus-sw-testing--eshop-sut/issues/5" TargetMode="External"/><Relationship Id="rId4" Type="http://schemas.openxmlformats.org/officeDocument/2006/relationships/hyperlink" Target="https://github.com/yuran1811/hcmus-sw-testing--eshop-sut/blob/main/HW3/Task1_GUI/Evidences/GUI-FORGOT-IA02-05.png"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eshop-sut-23127148.vercel.app"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72B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29.75"/>
    <col customWidth="1" min="3" max="3" width="24.13"/>
    <col customWidth="1" min="4" max="4" width="15.5"/>
    <col customWidth="1" min="5" max="5" width="7.88"/>
    <col customWidth="1" min="6" max="6" width="27.13"/>
  </cols>
  <sheetData>
    <row r="1">
      <c r="A1" s="3" t="s">
        <v>1</v>
      </c>
      <c r="B1" s="3" t="s">
        <v>5</v>
      </c>
      <c r="C1" s="3" t="s">
        <v>7</v>
      </c>
      <c r="D1" s="3" t="s">
        <v>9</v>
      </c>
      <c r="E1" s="3" t="s">
        <v>11</v>
      </c>
      <c r="F1" s="3" t="s">
        <v>12</v>
      </c>
    </row>
    <row r="2">
      <c r="A2" s="6" t="s">
        <v>15</v>
      </c>
      <c r="B2" s="6" t="s">
        <v>16</v>
      </c>
      <c r="C2" s="6" t="s">
        <v>17</v>
      </c>
      <c r="D2" s="6" t="s">
        <v>19</v>
      </c>
      <c r="E2" s="6">
        <v>22.0</v>
      </c>
      <c r="F2" s="6" t="b">
        <v>1</v>
      </c>
    </row>
    <row r="3">
      <c r="A3" s="6" t="s">
        <v>18</v>
      </c>
      <c r="B3" s="6" t="s">
        <v>27</v>
      </c>
      <c r="C3" s="6" t="s">
        <v>29</v>
      </c>
      <c r="D3" s="6" t="s">
        <v>30</v>
      </c>
      <c r="E3" s="6">
        <v>18.0</v>
      </c>
      <c r="F3" s="6" t="b">
        <v>1</v>
      </c>
    </row>
    <row r="4">
      <c r="A4" s="6" t="s">
        <v>36</v>
      </c>
      <c r="B4" s="6" t="s">
        <v>39</v>
      </c>
      <c r="C4" s="6" t="s">
        <v>41</v>
      </c>
      <c r="D4" s="6" t="s">
        <v>19</v>
      </c>
      <c r="E4" s="6">
        <v>21.0</v>
      </c>
      <c r="F4" s="6" t="b">
        <v>0</v>
      </c>
    </row>
    <row r="5">
      <c r="A5" s="6" t="s">
        <v>47</v>
      </c>
      <c r="B5" s="6" t="s">
        <v>49</v>
      </c>
      <c r="C5" s="6" t="s">
        <v>51</v>
      </c>
      <c r="D5" s="6" t="s">
        <v>19</v>
      </c>
      <c r="E5" s="6">
        <v>21.0</v>
      </c>
      <c r="F5" s="6" t="b">
        <v>0</v>
      </c>
    </row>
    <row r="6">
      <c r="A6" s="6" t="s">
        <v>57</v>
      </c>
      <c r="B6" s="6" t="s">
        <v>58</v>
      </c>
      <c r="C6" s="6" t="s">
        <v>59</v>
      </c>
      <c r="D6" s="6" t="s">
        <v>19</v>
      </c>
      <c r="E6" s="6">
        <v>21.0</v>
      </c>
      <c r="F6" s="6" t="b">
        <v>1</v>
      </c>
    </row>
    <row r="7">
      <c r="A7" s="6" t="s">
        <v>60</v>
      </c>
      <c r="B7" s="6" t="s">
        <v>61</v>
      </c>
      <c r="C7" s="6" t="s">
        <v>62</v>
      </c>
      <c r="D7" s="6" t="s">
        <v>19</v>
      </c>
      <c r="E7" s="6">
        <v>21.0</v>
      </c>
      <c r="F7" s="6" t="b">
        <v>0</v>
      </c>
    </row>
    <row r="8">
      <c r="A8" s="6" t="s">
        <v>63</v>
      </c>
      <c r="B8" s="6" t="s">
        <v>64</v>
      </c>
      <c r="C8" s="6" t="s">
        <v>65</v>
      </c>
      <c r="D8" s="6" t="s">
        <v>19</v>
      </c>
      <c r="E8" s="6">
        <v>21.0</v>
      </c>
      <c r="F8" s="6" t="b">
        <v>0</v>
      </c>
    </row>
    <row r="19">
      <c r="C19" s="15"/>
    </row>
    <row r="20">
      <c r="C20" s="15"/>
    </row>
    <row r="21">
      <c r="C21" s="15"/>
    </row>
    <row r="22">
      <c r="C22" s="15"/>
    </row>
    <row r="23">
      <c r="C23" s="15"/>
    </row>
    <row r="24">
      <c r="C24" s="15"/>
    </row>
    <row r="25">
      <c r="C25" s="15"/>
    </row>
    <row r="26">
      <c r="C26" s="15"/>
    </row>
    <row r="27">
      <c r="C27" s="15"/>
    </row>
    <row r="28">
      <c r="C28"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6619"/>
    <outlinePr summaryBelow="0" summaryRight="0"/>
  </sheetPr>
  <sheetViews>
    <sheetView workbookViewId="0"/>
  </sheetViews>
  <sheetFormatPr customHeight="1" defaultColWidth="12.63" defaultRowHeight="15.75"/>
  <cols>
    <col customWidth="1" min="1" max="1" width="5.75"/>
    <col customWidth="1" min="2" max="2" width="100.13"/>
  </cols>
  <sheetData>
    <row r="1">
      <c r="A1" s="1"/>
      <c r="B1" s="4" t="s">
        <v>3</v>
      </c>
    </row>
    <row r="2">
      <c r="A2" s="1"/>
      <c r="B2" s="5"/>
    </row>
    <row r="3">
      <c r="A3" s="1"/>
      <c r="B3" s="7" t="s">
        <v>14</v>
      </c>
    </row>
    <row r="4">
      <c r="A4" s="1"/>
      <c r="B4" s="5"/>
    </row>
    <row r="5">
      <c r="A5" s="9" t="s">
        <v>20</v>
      </c>
      <c r="B5" s="11" t="s">
        <v>23</v>
      </c>
    </row>
    <row r="6">
      <c r="A6" s="1"/>
      <c r="B6" s="13" t="s">
        <v>25</v>
      </c>
    </row>
    <row r="7">
      <c r="A7" s="1"/>
      <c r="B7" s="5"/>
    </row>
    <row r="8">
      <c r="A8" s="9" t="s">
        <v>34</v>
      </c>
      <c r="B8" s="11" t="s">
        <v>35</v>
      </c>
    </row>
    <row r="9">
      <c r="A9" s="1"/>
      <c r="B9" s="7" t="s">
        <v>42</v>
      </c>
    </row>
    <row r="10">
      <c r="A10" s="1"/>
      <c r="B10" s="7" t="s">
        <v>45</v>
      </c>
    </row>
    <row r="11">
      <c r="A11" s="1"/>
      <c r="B11" s="5"/>
    </row>
    <row r="12">
      <c r="A12" s="9" t="s">
        <v>50</v>
      </c>
      <c r="B12" s="11" t="s">
        <v>52</v>
      </c>
    </row>
    <row r="13">
      <c r="A13" s="1"/>
      <c r="B13" s="16" t="s">
        <v>55</v>
      </c>
    </row>
    <row r="14">
      <c r="A14" s="1"/>
      <c r="B14" s="5"/>
    </row>
    <row r="15">
      <c r="A15" s="9" t="s">
        <v>75</v>
      </c>
      <c r="B15" s="18" t="s">
        <v>76</v>
      </c>
    </row>
    <row r="16">
      <c r="A16" s="1"/>
      <c r="B16" s="7" t="s">
        <v>80</v>
      </c>
    </row>
    <row r="18">
      <c r="B18" s="8" t="s">
        <v>82</v>
      </c>
    </row>
    <row r="20">
      <c r="B20" s="8" t="s">
        <v>83</v>
      </c>
    </row>
    <row r="21">
      <c r="B21" s="8" t="s">
        <v>85</v>
      </c>
    </row>
    <row r="22">
      <c r="B22" s="8" t="s">
        <v>87</v>
      </c>
    </row>
    <row r="23">
      <c r="B23" s="8" t="s">
        <v>89</v>
      </c>
    </row>
    <row r="24">
      <c r="B24" s="8" t="s">
        <v>91</v>
      </c>
    </row>
  </sheetData>
  <hyperlinks>
    <hyperlink r:id="rId1" ref="B1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71.5"/>
    <col customWidth="1" min="3" max="3" width="25.88"/>
    <col customWidth="1" min="5" max="5" width="18.75"/>
  </cols>
  <sheetData>
    <row r="2">
      <c r="A2" s="2" t="s">
        <v>0</v>
      </c>
    </row>
    <row r="3">
      <c r="A3" s="3" t="s">
        <v>4</v>
      </c>
      <c r="B3" s="3" t="s">
        <v>6</v>
      </c>
      <c r="C3" s="3" t="s">
        <v>8</v>
      </c>
    </row>
    <row r="4">
      <c r="A4" s="6" t="s">
        <v>10</v>
      </c>
      <c r="B4" s="6" t="s">
        <v>13</v>
      </c>
      <c r="C4" s="10">
        <v>1.0</v>
      </c>
      <c r="E4" s="8" t="s">
        <v>1</v>
      </c>
      <c r="F4" s="8" t="s">
        <v>15</v>
      </c>
    </row>
    <row r="5">
      <c r="A5" s="6" t="s">
        <v>21</v>
      </c>
      <c r="B5" s="6" t="s">
        <v>22</v>
      </c>
      <c r="C5" s="10">
        <v>5.0</v>
      </c>
      <c r="E5" s="8" t="s">
        <v>24</v>
      </c>
      <c r="F5" s="12">
        <v>0.4375</v>
      </c>
    </row>
    <row r="6">
      <c r="A6" s="6" t="s">
        <v>26</v>
      </c>
      <c r="B6" s="6" t="s">
        <v>28</v>
      </c>
      <c r="C6" s="10">
        <v>2.0</v>
      </c>
      <c r="E6" s="8" t="s">
        <v>31</v>
      </c>
      <c r="F6" s="12">
        <v>0.4583333333333333</v>
      </c>
    </row>
    <row r="7">
      <c r="A7" s="6" t="s">
        <v>32</v>
      </c>
      <c r="B7" s="6" t="s">
        <v>33</v>
      </c>
      <c r="C7" s="10">
        <v>5.0</v>
      </c>
      <c r="E7" s="8" t="s">
        <v>37</v>
      </c>
      <c r="F7" s="8" t="s">
        <v>38</v>
      </c>
    </row>
    <row r="8">
      <c r="A8" s="6" t="s">
        <v>40</v>
      </c>
      <c r="B8" s="6" t="s">
        <v>43</v>
      </c>
      <c r="C8" s="10">
        <v>1.0</v>
      </c>
      <c r="E8" s="8" t="s">
        <v>44</v>
      </c>
      <c r="F8" s="8">
        <v>0.0</v>
      </c>
    </row>
    <row r="9">
      <c r="A9" s="6" t="s">
        <v>46</v>
      </c>
      <c r="B9" s="6" t="s">
        <v>48</v>
      </c>
      <c r="C9" s="10">
        <v>5.0</v>
      </c>
    </row>
    <row r="10">
      <c r="A10" s="6" t="s">
        <v>53</v>
      </c>
      <c r="B10" s="6" t="s">
        <v>54</v>
      </c>
      <c r="C10" s="10">
        <v>1.0</v>
      </c>
      <c r="E10" s="8" t="s">
        <v>56</v>
      </c>
      <c r="F10" s="14">
        <f>SUM(C4,C6,C8,C10,C12)-5</f>
        <v>1</v>
      </c>
    </row>
    <row r="11">
      <c r="A11" s="6" t="s">
        <v>66</v>
      </c>
      <c r="B11" s="6" t="s">
        <v>67</v>
      </c>
      <c r="C11" s="10">
        <v>5.0</v>
      </c>
      <c r="E11" s="8" t="s">
        <v>68</v>
      </c>
      <c r="F11" s="14">
        <f>25-SUM(C5,C7,C9,C11,C13)</f>
        <v>4</v>
      </c>
    </row>
    <row r="12">
      <c r="A12" s="6" t="s">
        <v>69</v>
      </c>
      <c r="B12" s="6" t="s">
        <v>70</v>
      </c>
      <c r="C12" s="10">
        <v>1.0</v>
      </c>
      <c r="E12" s="8" t="s">
        <v>71</v>
      </c>
      <c r="F12" s="14">
        <f>(F10+F11)*2.5</f>
        <v>12.5</v>
      </c>
    </row>
    <row r="13">
      <c r="A13" s="6" t="s">
        <v>72</v>
      </c>
      <c r="B13" s="6" t="s">
        <v>73</v>
      </c>
      <c r="C13" s="10">
        <v>1.0</v>
      </c>
    </row>
    <row r="16">
      <c r="A16" s="3" t="s">
        <v>74</v>
      </c>
      <c r="B16" s="17"/>
      <c r="C16" s="3" t="s">
        <v>77</v>
      </c>
    </row>
    <row r="17">
      <c r="A17" s="6" t="s">
        <v>78</v>
      </c>
      <c r="B17" s="6" t="s">
        <v>79</v>
      </c>
      <c r="C17" s="20" t="s">
        <v>97</v>
      </c>
    </row>
    <row r="18">
      <c r="A18" s="6" t="s">
        <v>78</v>
      </c>
      <c r="B18" s="6" t="s">
        <v>84</v>
      </c>
      <c r="C18" s="20" t="s">
        <v>102</v>
      </c>
    </row>
    <row r="19">
      <c r="A19" s="6" t="s">
        <v>88</v>
      </c>
      <c r="B19" s="6" t="s">
        <v>90</v>
      </c>
      <c r="C19" s="20" t="s">
        <v>104</v>
      </c>
    </row>
    <row r="20">
      <c r="A20" s="6" t="s">
        <v>88</v>
      </c>
      <c r="B20" s="6" t="s">
        <v>93</v>
      </c>
      <c r="C20" s="20" t="s">
        <v>106</v>
      </c>
    </row>
    <row r="21">
      <c r="A21" s="6" t="s">
        <v>95</v>
      </c>
      <c r="B21" s="6" t="s">
        <v>96</v>
      </c>
      <c r="C21" s="20" t="s">
        <v>107</v>
      </c>
    </row>
    <row r="22">
      <c r="A22" s="6" t="s">
        <v>95</v>
      </c>
      <c r="B22" s="6" t="s">
        <v>99</v>
      </c>
      <c r="C22" s="20" t="s">
        <v>108</v>
      </c>
    </row>
    <row r="23">
      <c r="A23" s="6" t="s">
        <v>101</v>
      </c>
      <c r="B23" s="6" t="s">
        <v>103</v>
      </c>
      <c r="C23" s="20" t="s">
        <v>109</v>
      </c>
    </row>
    <row r="24">
      <c r="A24" s="6" t="s">
        <v>101</v>
      </c>
      <c r="B24" s="6" t="s">
        <v>105</v>
      </c>
      <c r="C24" s="20" t="s">
        <v>110</v>
      </c>
    </row>
    <row r="27">
      <c r="A27"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71.5"/>
    <col customWidth="1" min="3" max="3" width="29.63"/>
  </cols>
  <sheetData>
    <row r="2">
      <c r="A2" s="2" t="s">
        <v>2</v>
      </c>
    </row>
    <row r="3">
      <c r="A3" s="3" t="s">
        <v>4</v>
      </c>
      <c r="B3" s="3" t="s">
        <v>6</v>
      </c>
      <c r="C3" s="3" t="s">
        <v>8</v>
      </c>
    </row>
    <row r="4">
      <c r="A4" s="6" t="s">
        <v>10</v>
      </c>
      <c r="B4" s="6" t="s">
        <v>13</v>
      </c>
      <c r="C4" s="6">
        <v>3.0</v>
      </c>
      <c r="E4" s="8" t="s">
        <v>1</v>
      </c>
      <c r="F4" s="8" t="s">
        <v>18</v>
      </c>
    </row>
    <row r="5">
      <c r="A5" s="6" t="s">
        <v>21</v>
      </c>
      <c r="B5" s="6" t="s">
        <v>22</v>
      </c>
      <c r="C5" s="6">
        <v>3.0</v>
      </c>
      <c r="E5" s="8" t="s">
        <v>24</v>
      </c>
      <c r="F5" s="12">
        <v>0.875</v>
      </c>
    </row>
    <row r="6">
      <c r="A6" s="6" t="s">
        <v>26</v>
      </c>
      <c r="B6" s="6" t="s">
        <v>28</v>
      </c>
      <c r="C6" s="6">
        <v>3.0</v>
      </c>
      <c r="E6" s="8" t="s">
        <v>31</v>
      </c>
      <c r="F6" s="12">
        <v>0.8888888888888888</v>
      </c>
    </row>
    <row r="7">
      <c r="A7" s="6" t="s">
        <v>32</v>
      </c>
      <c r="B7" s="6" t="s">
        <v>33</v>
      </c>
      <c r="C7" s="6">
        <v>4.0</v>
      </c>
      <c r="E7" s="8" t="s">
        <v>37</v>
      </c>
      <c r="F7" s="8" t="s">
        <v>38</v>
      </c>
    </row>
    <row r="8">
      <c r="A8" s="6" t="s">
        <v>40</v>
      </c>
      <c r="B8" s="6" t="s">
        <v>43</v>
      </c>
      <c r="C8" s="6">
        <v>3.0</v>
      </c>
      <c r="E8" s="8" t="s">
        <v>44</v>
      </c>
      <c r="F8" s="8">
        <v>0.0</v>
      </c>
    </row>
    <row r="9">
      <c r="A9" s="6" t="s">
        <v>46</v>
      </c>
      <c r="B9" s="6" t="s">
        <v>48</v>
      </c>
      <c r="C9" s="6">
        <v>4.0</v>
      </c>
    </row>
    <row r="10">
      <c r="A10" s="6" t="s">
        <v>53</v>
      </c>
      <c r="B10" s="6" t="s">
        <v>54</v>
      </c>
      <c r="C10" s="6">
        <v>3.0</v>
      </c>
      <c r="E10" s="8" t="s">
        <v>56</v>
      </c>
      <c r="F10" s="14">
        <f>SUM(C4,C6,C8,C10,C12)-5</f>
        <v>10</v>
      </c>
    </row>
    <row r="11">
      <c r="A11" s="6" t="s">
        <v>66</v>
      </c>
      <c r="B11" s="6" t="s">
        <v>67</v>
      </c>
      <c r="C11" s="6">
        <v>3.0</v>
      </c>
      <c r="E11" s="8" t="s">
        <v>68</v>
      </c>
      <c r="F11" s="14">
        <f>25-SUM(C5,C7,C9,C11,C13)</f>
        <v>9</v>
      </c>
    </row>
    <row r="12">
      <c r="A12" s="6" t="s">
        <v>69</v>
      </c>
      <c r="B12" s="6" t="s">
        <v>70</v>
      </c>
      <c r="C12" s="6">
        <v>3.0</v>
      </c>
      <c r="E12" s="8" t="s">
        <v>71</v>
      </c>
      <c r="F12" s="14">
        <f>(F10+F11)*2.5</f>
        <v>47.5</v>
      </c>
    </row>
    <row r="13">
      <c r="A13" s="6" t="s">
        <v>72</v>
      </c>
      <c r="B13" s="6" t="s">
        <v>73</v>
      </c>
      <c r="C13" s="6">
        <v>2.0</v>
      </c>
    </row>
    <row r="16">
      <c r="A16" s="3" t="s">
        <v>74</v>
      </c>
      <c r="B16" s="17"/>
      <c r="C16" s="3" t="s">
        <v>77</v>
      </c>
    </row>
    <row r="17">
      <c r="A17" s="6" t="s">
        <v>78</v>
      </c>
      <c r="B17" s="6" t="s">
        <v>79</v>
      </c>
      <c r="C17" s="19" t="s">
        <v>81</v>
      </c>
    </row>
    <row r="18">
      <c r="A18" s="6" t="s">
        <v>78</v>
      </c>
      <c r="B18" s="6" t="s">
        <v>84</v>
      </c>
      <c r="C18" s="19" t="s">
        <v>86</v>
      </c>
    </row>
    <row r="19">
      <c r="A19" s="6" t="s">
        <v>88</v>
      </c>
      <c r="B19" s="6" t="s">
        <v>90</v>
      </c>
      <c r="C19" s="19" t="s">
        <v>92</v>
      </c>
    </row>
    <row r="20">
      <c r="A20" s="6" t="s">
        <v>88</v>
      </c>
      <c r="B20" s="6" t="s">
        <v>93</v>
      </c>
      <c r="C20" s="19" t="s">
        <v>94</v>
      </c>
    </row>
    <row r="21">
      <c r="A21" s="6" t="s">
        <v>95</v>
      </c>
      <c r="B21" s="6" t="s">
        <v>96</v>
      </c>
      <c r="C21" s="19" t="s">
        <v>98</v>
      </c>
    </row>
    <row r="22">
      <c r="A22" s="6" t="s">
        <v>95</v>
      </c>
      <c r="B22" s="6" t="s">
        <v>99</v>
      </c>
      <c r="C22" s="19" t="s">
        <v>100</v>
      </c>
    </row>
    <row r="23">
      <c r="A23" s="6" t="s">
        <v>101</v>
      </c>
      <c r="B23" s="6" t="s">
        <v>103</v>
      </c>
      <c r="C23" s="19" t="s">
        <v>98</v>
      </c>
    </row>
    <row r="24">
      <c r="A24" s="6" t="s">
        <v>101</v>
      </c>
      <c r="B24" s="6" t="s">
        <v>105</v>
      </c>
      <c r="C24" s="19" t="s">
        <v>98</v>
      </c>
    </row>
    <row r="27">
      <c r="A27"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71.5"/>
    <col customWidth="1" min="3" max="3" width="25.88"/>
  </cols>
  <sheetData>
    <row r="2">
      <c r="A2" s="2" t="s">
        <v>0</v>
      </c>
    </row>
    <row r="3">
      <c r="A3" s="3" t="s">
        <v>4</v>
      </c>
      <c r="B3" s="3" t="s">
        <v>6</v>
      </c>
      <c r="C3" s="3" t="s">
        <v>8</v>
      </c>
    </row>
    <row r="4">
      <c r="A4" s="6" t="s">
        <v>10</v>
      </c>
      <c r="B4" s="6" t="s">
        <v>13</v>
      </c>
      <c r="C4" s="6">
        <v>3.0</v>
      </c>
      <c r="E4" s="8" t="s">
        <v>1</v>
      </c>
      <c r="F4" s="8" t="s">
        <v>36</v>
      </c>
    </row>
    <row r="5">
      <c r="A5" s="6" t="s">
        <v>21</v>
      </c>
      <c r="B5" s="6" t="s">
        <v>22</v>
      </c>
      <c r="C5" s="6">
        <v>1.0</v>
      </c>
      <c r="E5" s="8" t="s">
        <v>24</v>
      </c>
      <c r="F5" s="12">
        <v>0.4791666666666667</v>
      </c>
    </row>
    <row r="6">
      <c r="A6" s="6" t="s">
        <v>26</v>
      </c>
      <c r="B6" s="6" t="s">
        <v>28</v>
      </c>
      <c r="C6" s="6">
        <v>4.0</v>
      </c>
      <c r="E6" s="8" t="s">
        <v>31</v>
      </c>
      <c r="F6" s="12">
        <v>0.4930555555555556</v>
      </c>
    </row>
    <row r="7">
      <c r="A7" s="6" t="s">
        <v>32</v>
      </c>
      <c r="B7" s="6" t="s">
        <v>33</v>
      </c>
      <c r="C7" s="6">
        <v>3.0</v>
      </c>
      <c r="E7" s="8" t="s">
        <v>37</v>
      </c>
      <c r="F7" s="8" t="s">
        <v>38</v>
      </c>
    </row>
    <row r="8">
      <c r="A8" s="6" t="s">
        <v>40</v>
      </c>
      <c r="B8" s="6" t="s">
        <v>43</v>
      </c>
      <c r="C8" s="6">
        <v>4.0</v>
      </c>
      <c r="E8" s="8" t="s">
        <v>44</v>
      </c>
      <c r="F8" s="8">
        <v>0.0</v>
      </c>
    </row>
    <row r="9">
      <c r="A9" s="6" t="s">
        <v>46</v>
      </c>
      <c r="B9" s="6" t="s">
        <v>48</v>
      </c>
      <c r="C9" s="6">
        <v>5.0</v>
      </c>
    </row>
    <row r="10">
      <c r="A10" s="6" t="s">
        <v>53</v>
      </c>
      <c r="B10" s="6" t="s">
        <v>54</v>
      </c>
      <c r="C10" s="6">
        <v>5.0</v>
      </c>
      <c r="E10" s="8" t="s">
        <v>56</v>
      </c>
      <c r="F10" s="14">
        <f>SUM(C4,C6,C8,C10,C12)-5</f>
        <v>15</v>
      </c>
    </row>
    <row r="11">
      <c r="A11" s="6" t="s">
        <v>66</v>
      </c>
      <c r="B11" s="6" t="s">
        <v>67</v>
      </c>
      <c r="C11" s="6">
        <v>3.0</v>
      </c>
      <c r="E11" s="8" t="s">
        <v>68</v>
      </c>
      <c r="F11" s="14">
        <f>25-SUM(C5,C7,C9,C11,C13)</f>
        <v>10</v>
      </c>
    </row>
    <row r="12">
      <c r="A12" s="6" t="s">
        <v>69</v>
      </c>
      <c r="B12" s="6" t="s">
        <v>70</v>
      </c>
      <c r="C12" s="6">
        <v>4.0</v>
      </c>
      <c r="E12" s="8" t="s">
        <v>71</v>
      </c>
      <c r="F12" s="14">
        <f>(F10+F11)*2.5</f>
        <v>62.5</v>
      </c>
    </row>
    <row r="13">
      <c r="A13" s="6" t="s">
        <v>72</v>
      </c>
      <c r="B13" s="6" t="s">
        <v>73</v>
      </c>
      <c r="C13" s="6">
        <v>3.0</v>
      </c>
    </row>
    <row r="16">
      <c r="A16" s="3" t="s">
        <v>74</v>
      </c>
      <c r="B16" s="17"/>
      <c r="C16" s="3" t="s">
        <v>77</v>
      </c>
    </row>
    <row r="17">
      <c r="A17" s="6" t="s">
        <v>78</v>
      </c>
      <c r="B17" s="6" t="s">
        <v>79</v>
      </c>
      <c r="C17" s="20" t="s">
        <v>111</v>
      </c>
    </row>
    <row r="18">
      <c r="A18" s="6" t="s">
        <v>78</v>
      </c>
      <c r="B18" s="6" t="s">
        <v>84</v>
      </c>
      <c r="C18" s="20" t="s">
        <v>112</v>
      </c>
    </row>
    <row r="19">
      <c r="A19" s="6" t="s">
        <v>88</v>
      </c>
      <c r="B19" s="6" t="s">
        <v>90</v>
      </c>
      <c r="C19" s="20" t="s">
        <v>113</v>
      </c>
    </row>
    <row r="20">
      <c r="A20" s="6" t="s">
        <v>88</v>
      </c>
      <c r="B20" s="6" t="s">
        <v>93</v>
      </c>
      <c r="C20" s="20" t="s">
        <v>114</v>
      </c>
    </row>
    <row r="21">
      <c r="A21" s="6" t="s">
        <v>95</v>
      </c>
      <c r="B21" s="6" t="s">
        <v>96</v>
      </c>
      <c r="C21" s="20" t="s">
        <v>115</v>
      </c>
    </row>
    <row r="22">
      <c r="A22" s="6" t="s">
        <v>95</v>
      </c>
      <c r="B22" s="6" t="s">
        <v>99</v>
      </c>
      <c r="C22" s="20" t="s">
        <v>116</v>
      </c>
    </row>
    <row r="23">
      <c r="A23" s="6" t="s">
        <v>101</v>
      </c>
      <c r="B23" s="6" t="s">
        <v>103</v>
      </c>
      <c r="C23" s="20" t="s">
        <v>109</v>
      </c>
    </row>
    <row r="24">
      <c r="A24" s="6" t="s">
        <v>101</v>
      </c>
      <c r="B24" s="6" t="s">
        <v>105</v>
      </c>
      <c r="C24" s="20" t="s">
        <v>117</v>
      </c>
    </row>
    <row r="27">
      <c r="A27" s="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71.5"/>
    <col customWidth="1" min="3" max="3" width="25.88"/>
  </cols>
  <sheetData>
    <row r="2">
      <c r="A2" s="2" t="s">
        <v>0</v>
      </c>
    </row>
    <row r="3">
      <c r="A3" s="3" t="s">
        <v>4</v>
      </c>
      <c r="B3" s="3" t="s">
        <v>6</v>
      </c>
      <c r="C3" s="3" t="s">
        <v>8</v>
      </c>
    </row>
    <row r="4">
      <c r="A4" s="6" t="s">
        <v>10</v>
      </c>
      <c r="B4" s="6" t="s">
        <v>13</v>
      </c>
      <c r="C4" s="6">
        <v>1.0</v>
      </c>
      <c r="E4" s="8" t="s">
        <v>1</v>
      </c>
      <c r="F4" s="8" t="s">
        <v>47</v>
      </c>
    </row>
    <row r="5">
      <c r="A5" s="6" t="s">
        <v>21</v>
      </c>
      <c r="B5" s="6" t="s">
        <v>22</v>
      </c>
      <c r="C5" s="6">
        <v>5.0</v>
      </c>
      <c r="E5" s="8" t="s">
        <v>24</v>
      </c>
      <c r="F5" s="12">
        <v>0.6458333333333334</v>
      </c>
    </row>
    <row r="6">
      <c r="A6" s="6" t="s">
        <v>26</v>
      </c>
      <c r="B6" s="6" t="s">
        <v>28</v>
      </c>
      <c r="C6" s="6">
        <v>2.0</v>
      </c>
      <c r="E6" s="8" t="s">
        <v>31</v>
      </c>
      <c r="F6" s="12">
        <v>0.6611111111111111</v>
      </c>
    </row>
    <row r="7">
      <c r="A7" s="6" t="s">
        <v>32</v>
      </c>
      <c r="B7" s="6" t="s">
        <v>33</v>
      </c>
      <c r="C7" s="6">
        <v>5.0</v>
      </c>
      <c r="E7" s="8" t="s">
        <v>37</v>
      </c>
      <c r="F7" s="8" t="s">
        <v>38</v>
      </c>
    </row>
    <row r="8">
      <c r="A8" s="6" t="s">
        <v>40</v>
      </c>
      <c r="B8" s="6" t="s">
        <v>43</v>
      </c>
      <c r="C8" s="6">
        <v>2.0</v>
      </c>
      <c r="E8" s="8" t="s">
        <v>44</v>
      </c>
      <c r="F8" s="8">
        <v>0.0</v>
      </c>
    </row>
    <row r="9">
      <c r="A9" s="6" t="s">
        <v>46</v>
      </c>
      <c r="B9" s="6" t="s">
        <v>48</v>
      </c>
      <c r="C9" s="6">
        <v>4.0</v>
      </c>
    </row>
    <row r="10">
      <c r="A10" s="6" t="s">
        <v>53</v>
      </c>
      <c r="B10" s="6" t="s">
        <v>54</v>
      </c>
      <c r="C10" s="6">
        <v>3.0</v>
      </c>
      <c r="E10" s="8" t="s">
        <v>56</v>
      </c>
      <c r="F10" s="14">
        <f>SUM(C4,C6,C8,C10,C12)-5</f>
        <v>8</v>
      </c>
    </row>
    <row r="11">
      <c r="A11" s="6" t="s">
        <v>66</v>
      </c>
      <c r="B11" s="6" t="s">
        <v>67</v>
      </c>
      <c r="C11" s="6">
        <v>3.0</v>
      </c>
      <c r="E11" s="8" t="s">
        <v>68</v>
      </c>
      <c r="F11" s="14">
        <f>25-SUM(C5,C7,C9,C11,C13)</f>
        <v>7</v>
      </c>
    </row>
    <row r="12">
      <c r="A12" s="6" t="s">
        <v>69</v>
      </c>
      <c r="B12" s="6" t="s">
        <v>70</v>
      </c>
      <c r="C12" s="6">
        <v>5.0</v>
      </c>
      <c r="E12" s="8" t="s">
        <v>71</v>
      </c>
      <c r="F12" s="14">
        <f>(F10+F11)*2.5</f>
        <v>37.5</v>
      </c>
    </row>
    <row r="13">
      <c r="A13" s="6" t="s">
        <v>72</v>
      </c>
      <c r="B13" s="6" t="s">
        <v>73</v>
      </c>
      <c r="C13" s="6">
        <v>1.0</v>
      </c>
    </row>
    <row r="16">
      <c r="A16" s="3" t="s">
        <v>74</v>
      </c>
      <c r="B16" s="17"/>
      <c r="C16" s="3" t="s">
        <v>77</v>
      </c>
    </row>
    <row r="17">
      <c r="A17" s="6" t="s">
        <v>78</v>
      </c>
      <c r="B17" s="6" t="s">
        <v>79</v>
      </c>
      <c r="C17" s="20" t="s">
        <v>118</v>
      </c>
    </row>
    <row r="18">
      <c r="A18" s="6" t="s">
        <v>78</v>
      </c>
      <c r="B18" s="6" t="s">
        <v>84</v>
      </c>
      <c r="C18" s="20" t="s">
        <v>119</v>
      </c>
    </row>
    <row r="19">
      <c r="A19" s="6" t="s">
        <v>88</v>
      </c>
      <c r="B19" s="6" t="s">
        <v>90</v>
      </c>
      <c r="C19" s="20" t="s">
        <v>120</v>
      </c>
    </row>
    <row r="20">
      <c r="A20" s="6" t="s">
        <v>88</v>
      </c>
      <c r="B20" s="6" t="s">
        <v>93</v>
      </c>
      <c r="C20" s="20" t="s">
        <v>121</v>
      </c>
    </row>
    <row r="21">
      <c r="A21" s="6" t="s">
        <v>95</v>
      </c>
      <c r="B21" s="6" t="s">
        <v>96</v>
      </c>
      <c r="C21" s="20" t="s">
        <v>122</v>
      </c>
    </row>
    <row r="22">
      <c r="A22" s="6" t="s">
        <v>95</v>
      </c>
      <c r="B22" s="6" t="s">
        <v>99</v>
      </c>
      <c r="C22" s="20" t="s">
        <v>123</v>
      </c>
    </row>
    <row r="23">
      <c r="A23" s="6" t="s">
        <v>101</v>
      </c>
      <c r="B23" s="6" t="s">
        <v>103</v>
      </c>
      <c r="C23" s="20" t="s">
        <v>124</v>
      </c>
    </row>
    <row r="24">
      <c r="A24" s="6" t="s">
        <v>101</v>
      </c>
      <c r="B24" s="6" t="s">
        <v>105</v>
      </c>
      <c r="C24" s="20" t="s">
        <v>125</v>
      </c>
    </row>
    <row r="27">
      <c r="A27" s="2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71.5"/>
    <col customWidth="1" min="3" max="3" width="32.25"/>
  </cols>
  <sheetData>
    <row r="2">
      <c r="A2" s="2" t="s">
        <v>0</v>
      </c>
    </row>
    <row r="3">
      <c r="A3" s="3" t="s">
        <v>4</v>
      </c>
      <c r="B3" s="3" t="s">
        <v>6</v>
      </c>
      <c r="C3" s="3" t="s">
        <v>8</v>
      </c>
    </row>
    <row r="4">
      <c r="A4" s="6" t="s">
        <v>10</v>
      </c>
      <c r="B4" s="6" t="s">
        <v>13</v>
      </c>
      <c r="C4" s="6">
        <v>1.0</v>
      </c>
      <c r="E4" s="8" t="s">
        <v>1</v>
      </c>
      <c r="F4" s="8" t="s">
        <v>57</v>
      </c>
    </row>
    <row r="5">
      <c r="A5" s="6" t="s">
        <v>21</v>
      </c>
      <c r="B5" s="6" t="s">
        <v>22</v>
      </c>
      <c r="C5" s="6">
        <v>2.0</v>
      </c>
      <c r="E5" s="8" t="s">
        <v>24</v>
      </c>
      <c r="F5" s="12">
        <v>0.4305555555555556</v>
      </c>
    </row>
    <row r="6">
      <c r="A6" s="6" t="s">
        <v>26</v>
      </c>
      <c r="B6" s="6" t="s">
        <v>28</v>
      </c>
      <c r="C6" s="6">
        <v>4.0</v>
      </c>
      <c r="E6" s="8" t="s">
        <v>31</v>
      </c>
      <c r="F6" s="12">
        <v>0.4375</v>
      </c>
    </row>
    <row r="7">
      <c r="A7" s="6" t="s">
        <v>32</v>
      </c>
      <c r="B7" s="6" t="s">
        <v>33</v>
      </c>
      <c r="C7" s="6">
        <v>5.0</v>
      </c>
      <c r="E7" s="8" t="s">
        <v>37</v>
      </c>
      <c r="F7" s="8" t="s">
        <v>38</v>
      </c>
    </row>
    <row r="8">
      <c r="A8" s="6" t="s">
        <v>40</v>
      </c>
      <c r="B8" s="6" t="s">
        <v>43</v>
      </c>
      <c r="C8" s="6">
        <v>2.0</v>
      </c>
      <c r="E8" s="8" t="s">
        <v>44</v>
      </c>
      <c r="F8" s="8">
        <v>0.0</v>
      </c>
    </row>
    <row r="9">
      <c r="A9" s="6" t="s">
        <v>46</v>
      </c>
      <c r="B9" s="6" t="s">
        <v>48</v>
      </c>
      <c r="C9" s="6">
        <v>5.0</v>
      </c>
    </row>
    <row r="10">
      <c r="A10" s="6" t="s">
        <v>53</v>
      </c>
      <c r="B10" s="6" t="s">
        <v>54</v>
      </c>
      <c r="C10" s="6">
        <v>3.0</v>
      </c>
      <c r="E10" s="8" t="s">
        <v>56</v>
      </c>
      <c r="F10" s="14">
        <f>SUM(C4,C6,C8,C10,C12)-5</f>
        <v>9</v>
      </c>
    </row>
    <row r="11">
      <c r="A11" s="6" t="s">
        <v>66</v>
      </c>
      <c r="B11" s="6" t="s">
        <v>67</v>
      </c>
      <c r="C11" s="6">
        <v>2.0</v>
      </c>
      <c r="E11" s="8" t="s">
        <v>68</v>
      </c>
      <c r="F11" s="14">
        <f>25-SUM(C5,C7,C9,C11,C13)</f>
        <v>10</v>
      </c>
    </row>
    <row r="12">
      <c r="A12" s="6" t="s">
        <v>69</v>
      </c>
      <c r="B12" s="6" t="s">
        <v>70</v>
      </c>
      <c r="C12" s="6">
        <v>4.0</v>
      </c>
      <c r="E12" s="8" t="s">
        <v>71</v>
      </c>
      <c r="F12" s="14">
        <f>(F10+F11)*2.5</f>
        <v>47.5</v>
      </c>
    </row>
    <row r="13">
      <c r="A13" s="6" t="s">
        <v>72</v>
      </c>
      <c r="B13" s="6" t="s">
        <v>73</v>
      </c>
      <c r="C13" s="6">
        <v>1.0</v>
      </c>
    </row>
    <row r="16">
      <c r="A16" s="3" t="s">
        <v>74</v>
      </c>
      <c r="B16" s="17"/>
      <c r="C16" s="3" t="s">
        <v>77</v>
      </c>
    </row>
    <row r="17">
      <c r="A17" s="6" t="s">
        <v>78</v>
      </c>
      <c r="B17" s="6" t="s">
        <v>79</v>
      </c>
      <c r="C17" s="20" t="s">
        <v>130</v>
      </c>
    </row>
    <row r="18">
      <c r="A18" s="6" t="s">
        <v>78</v>
      </c>
      <c r="B18" s="6" t="s">
        <v>84</v>
      </c>
      <c r="C18" s="20" t="s">
        <v>131</v>
      </c>
    </row>
    <row r="19">
      <c r="A19" s="6" t="s">
        <v>88</v>
      </c>
      <c r="B19" s="6" t="s">
        <v>90</v>
      </c>
      <c r="C19" s="20" t="s">
        <v>132</v>
      </c>
    </row>
    <row r="20">
      <c r="A20" s="6" t="s">
        <v>88</v>
      </c>
      <c r="B20" s="6" t="s">
        <v>93</v>
      </c>
      <c r="C20" s="20" t="s">
        <v>133</v>
      </c>
    </row>
    <row r="21">
      <c r="A21" s="6" t="s">
        <v>95</v>
      </c>
      <c r="B21" s="6" t="s">
        <v>96</v>
      </c>
      <c r="C21" s="20" t="s">
        <v>134</v>
      </c>
    </row>
    <row r="22">
      <c r="A22" s="6" t="s">
        <v>95</v>
      </c>
      <c r="B22" s="6" t="s">
        <v>99</v>
      </c>
      <c r="C22" s="20" t="s">
        <v>136</v>
      </c>
    </row>
    <row r="23">
      <c r="A23" s="6" t="s">
        <v>101</v>
      </c>
      <c r="B23" s="6" t="s">
        <v>103</v>
      </c>
      <c r="C23" s="20" t="s">
        <v>138</v>
      </c>
    </row>
    <row r="24">
      <c r="A24" s="6" t="s">
        <v>101</v>
      </c>
      <c r="B24" s="6" t="s">
        <v>105</v>
      </c>
      <c r="C24" s="20" t="s">
        <v>141</v>
      </c>
    </row>
    <row r="27">
      <c r="A27" s="2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71.5"/>
    <col customWidth="1" min="3" max="3" width="25.88"/>
  </cols>
  <sheetData>
    <row r="2">
      <c r="A2" s="2" t="s">
        <v>0</v>
      </c>
    </row>
    <row r="3">
      <c r="A3" s="3" t="s">
        <v>4</v>
      </c>
      <c r="B3" s="3" t="s">
        <v>6</v>
      </c>
      <c r="C3" s="3" t="s">
        <v>8</v>
      </c>
    </row>
    <row r="4">
      <c r="A4" s="6" t="s">
        <v>10</v>
      </c>
      <c r="B4" s="6" t="s">
        <v>13</v>
      </c>
      <c r="C4" s="6">
        <v>2.0</v>
      </c>
      <c r="E4" s="8" t="s">
        <v>1</v>
      </c>
      <c r="F4" s="8" t="s">
        <v>60</v>
      </c>
    </row>
    <row r="5">
      <c r="A5" s="6" t="s">
        <v>21</v>
      </c>
      <c r="B5" s="6" t="s">
        <v>22</v>
      </c>
      <c r="C5" s="6">
        <v>3.0</v>
      </c>
      <c r="E5" s="8" t="s">
        <v>24</v>
      </c>
      <c r="F5" s="12">
        <v>0.8993055555555556</v>
      </c>
    </row>
    <row r="6">
      <c r="A6" s="6" t="s">
        <v>26</v>
      </c>
      <c r="B6" s="6" t="s">
        <v>28</v>
      </c>
      <c r="C6" s="6">
        <v>1.0</v>
      </c>
      <c r="E6" s="8" t="s">
        <v>31</v>
      </c>
      <c r="F6" s="12">
        <v>0.90625</v>
      </c>
    </row>
    <row r="7">
      <c r="A7" s="6" t="s">
        <v>32</v>
      </c>
      <c r="B7" s="6" t="s">
        <v>33</v>
      </c>
      <c r="C7" s="6">
        <v>1.0</v>
      </c>
      <c r="E7" s="8" t="s">
        <v>37</v>
      </c>
      <c r="F7" s="8" t="s">
        <v>38</v>
      </c>
    </row>
    <row r="8">
      <c r="A8" s="6" t="s">
        <v>40</v>
      </c>
      <c r="B8" s="6" t="s">
        <v>43</v>
      </c>
      <c r="C8" s="6">
        <v>3.0</v>
      </c>
      <c r="E8" s="8" t="s">
        <v>44</v>
      </c>
      <c r="F8" s="8">
        <v>0.0</v>
      </c>
    </row>
    <row r="9">
      <c r="A9" s="6" t="s">
        <v>46</v>
      </c>
      <c r="B9" s="6" t="s">
        <v>48</v>
      </c>
      <c r="C9" s="6">
        <v>3.0</v>
      </c>
    </row>
    <row r="10">
      <c r="A10" s="6" t="s">
        <v>53</v>
      </c>
      <c r="B10" s="6" t="s">
        <v>54</v>
      </c>
      <c r="C10" s="6">
        <v>2.0</v>
      </c>
      <c r="E10" s="8" t="s">
        <v>56</v>
      </c>
      <c r="F10" s="14">
        <f>SUM(C4,C6,C8,C10,C12)-5</f>
        <v>6</v>
      </c>
    </row>
    <row r="11">
      <c r="A11" s="6" t="s">
        <v>66</v>
      </c>
      <c r="B11" s="6" t="s">
        <v>67</v>
      </c>
      <c r="C11" s="6">
        <v>5.0</v>
      </c>
      <c r="E11" s="8" t="s">
        <v>68</v>
      </c>
      <c r="F11" s="14">
        <f>25-SUM(C5,C7,C9,C11,C13)</f>
        <v>11</v>
      </c>
    </row>
    <row r="12">
      <c r="A12" s="6" t="s">
        <v>69</v>
      </c>
      <c r="B12" s="6" t="s">
        <v>70</v>
      </c>
      <c r="C12" s="6">
        <v>3.0</v>
      </c>
      <c r="E12" s="8" t="s">
        <v>71</v>
      </c>
      <c r="F12" s="14">
        <f>(F10+F11)*2.5</f>
        <v>42.5</v>
      </c>
    </row>
    <row r="13">
      <c r="A13" s="6" t="s">
        <v>72</v>
      </c>
      <c r="B13" s="6" t="s">
        <v>73</v>
      </c>
      <c r="C13" s="6">
        <v>2.0</v>
      </c>
    </row>
    <row r="16">
      <c r="A16" s="3" t="s">
        <v>74</v>
      </c>
      <c r="B16" s="17"/>
      <c r="C16" s="3" t="s">
        <v>77</v>
      </c>
    </row>
    <row r="17">
      <c r="A17" s="6" t="s">
        <v>78</v>
      </c>
      <c r="B17" s="6" t="s">
        <v>79</v>
      </c>
      <c r="C17" s="19" t="s">
        <v>135</v>
      </c>
    </row>
    <row r="18">
      <c r="A18" s="6" t="s">
        <v>78</v>
      </c>
      <c r="B18" s="6" t="s">
        <v>84</v>
      </c>
      <c r="C18" s="19" t="s">
        <v>140</v>
      </c>
    </row>
    <row r="19">
      <c r="A19" s="6" t="s">
        <v>88</v>
      </c>
      <c r="B19" s="6" t="s">
        <v>90</v>
      </c>
      <c r="C19" s="19" t="s">
        <v>143</v>
      </c>
    </row>
    <row r="20">
      <c r="A20" s="6" t="s">
        <v>88</v>
      </c>
      <c r="B20" s="6" t="s">
        <v>93</v>
      </c>
      <c r="C20" s="19" t="s">
        <v>143</v>
      </c>
    </row>
    <row r="21">
      <c r="A21" s="6" t="s">
        <v>95</v>
      </c>
      <c r="B21" s="6" t="s">
        <v>96</v>
      </c>
      <c r="C21" s="19" t="s">
        <v>146</v>
      </c>
    </row>
    <row r="22">
      <c r="A22" s="6" t="s">
        <v>95</v>
      </c>
      <c r="B22" s="6" t="s">
        <v>99</v>
      </c>
      <c r="C22" s="19" t="s">
        <v>148</v>
      </c>
    </row>
    <row r="23">
      <c r="A23" s="6" t="s">
        <v>101</v>
      </c>
      <c r="B23" s="6" t="s">
        <v>103</v>
      </c>
      <c r="C23" s="19" t="s">
        <v>150</v>
      </c>
    </row>
    <row r="24">
      <c r="A24" s="6" t="s">
        <v>101</v>
      </c>
      <c r="B24" s="6" t="s">
        <v>105</v>
      </c>
      <c r="C24" s="19" t="s">
        <v>152</v>
      </c>
    </row>
    <row r="27">
      <c r="A27" s="2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71.75"/>
    <col customWidth="1" min="3" max="3" width="60.13"/>
  </cols>
  <sheetData>
    <row r="2">
      <c r="A2" s="2" t="s">
        <v>0</v>
      </c>
    </row>
    <row r="3">
      <c r="A3" s="3" t="s">
        <v>4</v>
      </c>
      <c r="B3" s="3" t="s">
        <v>6</v>
      </c>
      <c r="C3" s="3" t="s">
        <v>8</v>
      </c>
    </row>
    <row r="4">
      <c r="A4" s="6" t="s">
        <v>10</v>
      </c>
      <c r="B4" s="6" t="s">
        <v>13</v>
      </c>
      <c r="C4" s="6">
        <v>4.0</v>
      </c>
      <c r="E4" s="8" t="s">
        <v>1</v>
      </c>
      <c r="F4" s="8" t="s">
        <v>63</v>
      </c>
    </row>
    <row r="5">
      <c r="A5" s="6" t="s">
        <v>21</v>
      </c>
      <c r="B5" s="6" t="s">
        <v>22</v>
      </c>
      <c r="C5" s="6">
        <v>1.0</v>
      </c>
      <c r="F5" s="12">
        <v>0.625</v>
      </c>
    </row>
    <row r="6">
      <c r="A6" s="6" t="s">
        <v>26</v>
      </c>
      <c r="B6" s="6" t="s">
        <v>28</v>
      </c>
      <c r="C6" s="6">
        <v>4.0</v>
      </c>
      <c r="F6" s="12">
        <v>0.6458333333333334</v>
      </c>
    </row>
    <row r="7">
      <c r="A7" s="6" t="s">
        <v>32</v>
      </c>
      <c r="B7" s="6" t="s">
        <v>33</v>
      </c>
      <c r="C7" s="6">
        <v>3.0</v>
      </c>
      <c r="E7" s="8" t="s">
        <v>37</v>
      </c>
      <c r="F7" s="8" t="s">
        <v>38</v>
      </c>
    </row>
    <row r="8">
      <c r="A8" s="6" t="s">
        <v>40</v>
      </c>
      <c r="B8" s="6" t="s">
        <v>43</v>
      </c>
      <c r="C8" s="6">
        <v>2.0</v>
      </c>
      <c r="E8" s="8" t="s">
        <v>44</v>
      </c>
      <c r="F8" s="8">
        <v>0.0</v>
      </c>
    </row>
    <row r="9">
      <c r="A9" s="6" t="s">
        <v>46</v>
      </c>
      <c r="B9" s="6" t="s">
        <v>48</v>
      </c>
      <c r="C9" s="6">
        <v>1.0</v>
      </c>
    </row>
    <row r="10">
      <c r="A10" s="6" t="s">
        <v>53</v>
      </c>
      <c r="B10" s="6" t="s">
        <v>54</v>
      </c>
      <c r="C10" s="6">
        <v>5.0</v>
      </c>
      <c r="E10" s="8" t="s">
        <v>56</v>
      </c>
      <c r="F10" s="14">
        <f>SUM(C4,C6,C8,C10,C12)-5</f>
        <v>14</v>
      </c>
    </row>
    <row r="11">
      <c r="A11" s="6" t="s">
        <v>66</v>
      </c>
      <c r="B11" s="6" t="s">
        <v>67</v>
      </c>
      <c r="C11" s="6">
        <v>2.0</v>
      </c>
      <c r="E11" s="8" t="s">
        <v>68</v>
      </c>
      <c r="F11" s="14">
        <f>25-SUM(C5,C7,C9,C11,C13)</f>
        <v>17</v>
      </c>
    </row>
    <row r="12">
      <c r="A12" s="6" t="s">
        <v>69</v>
      </c>
      <c r="B12" s="6" t="s">
        <v>70</v>
      </c>
      <c r="C12" s="6">
        <v>4.0</v>
      </c>
      <c r="E12" s="8" t="s">
        <v>71</v>
      </c>
      <c r="F12" s="14">
        <f>(F10+F11)*2.5</f>
        <v>77.5</v>
      </c>
    </row>
    <row r="13">
      <c r="A13" s="6" t="s">
        <v>72</v>
      </c>
      <c r="B13" s="6" t="s">
        <v>73</v>
      </c>
      <c r="C13" s="6">
        <v>1.0</v>
      </c>
    </row>
    <row r="16">
      <c r="A16" s="3" t="s">
        <v>74</v>
      </c>
      <c r="B16" s="17"/>
      <c r="C16" s="3" t="s">
        <v>77</v>
      </c>
    </row>
    <row r="17">
      <c r="A17" s="6" t="s">
        <v>78</v>
      </c>
      <c r="B17" s="6" t="s">
        <v>79</v>
      </c>
      <c r="C17" s="6" t="s">
        <v>137</v>
      </c>
    </row>
    <row r="18">
      <c r="A18" s="6" t="s">
        <v>78</v>
      </c>
      <c r="B18" s="6" t="s">
        <v>84</v>
      </c>
      <c r="C18" s="6" t="s">
        <v>139</v>
      </c>
    </row>
    <row r="19">
      <c r="A19" s="6" t="s">
        <v>88</v>
      </c>
      <c r="B19" s="6" t="s">
        <v>90</v>
      </c>
      <c r="C19" s="6" t="s">
        <v>142</v>
      </c>
    </row>
    <row r="20">
      <c r="A20" s="6" t="s">
        <v>88</v>
      </c>
      <c r="B20" s="6" t="s">
        <v>93</v>
      </c>
      <c r="C20" s="6" t="s">
        <v>144</v>
      </c>
    </row>
    <row r="21">
      <c r="A21" s="6" t="s">
        <v>95</v>
      </c>
      <c r="B21" s="6" t="s">
        <v>96</v>
      </c>
      <c r="C21" s="6" t="s">
        <v>145</v>
      </c>
    </row>
    <row r="22">
      <c r="A22" s="6" t="s">
        <v>95</v>
      </c>
      <c r="B22" s="6" t="s">
        <v>99</v>
      </c>
      <c r="C22" s="6" t="s">
        <v>147</v>
      </c>
    </row>
    <row r="23">
      <c r="A23" s="6" t="s">
        <v>101</v>
      </c>
      <c r="B23" s="6" t="s">
        <v>103</v>
      </c>
      <c r="C23" s="6" t="s">
        <v>149</v>
      </c>
    </row>
    <row r="24">
      <c r="A24" s="6" t="s">
        <v>101</v>
      </c>
      <c r="B24" s="6" t="s">
        <v>105</v>
      </c>
      <c r="C24" s="6" t="s">
        <v>151</v>
      </c>
    </row>
    <row r="27">
      <c r="A27" s="2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72B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30.63"/>
    <col customWidth="1" min="3" max="3" width="55.5"/>
    <col customWidth="1" min="4" max="4" width="9.63"/>
  </cols>
  <sheetData>
    <row r="1">
      <c r="A1" s="3" t="s">
        <v>1</v>
      </c>
      <c r="B1" s="3" t="s">
        <v>126</v>
      </c>
      <c r="C1" s="3" t="s">
        <v>127</v>
      </c>
      <c r="D1" s="3" t="s">
        <v>128</v>
      </c>
      <c r="E1" s="3" t="s">
        <v>129</v>
      </c>
    </row>
    <row r="2">
      <c r="A2" s="6" t="s">
        <v>15</v>
      </c>
      <c r="B2" s="22" t="str">
        <f>CONCATENATE('P01'!C17, CHAR(10), 'P01'!C18)</f>
        <v>Chỉ có bước tạo lại mật khẩu quá mù mờ. Hệ thống không nói mật khẩu thiếu điều kiện ở chỗ nào nên người dùng không biết đặt mật khẩu đúng
Bước đăng nhập khá rõ ràng. Bước đặt lại mật khẩu quá mơ hồ</v>
      </c>
      <c r="C2" s="22" t="str">
        <f>CONCATENATE('P01'!C19, CHAR(10), 'P01'!C20)</f>
        <v>hệ thống báo người dùng ko tồn tại khi nhập sai email, nhập đúng email thì gửi luôn mã otp trên web
Không hiểu</v>
      </c>
      <c r="D2" s="22" t="str">
        <f>CONCATENATE('P01'!C21, CHAR(10), 'P01'!C22)</f>
        <v>Không nhanh và không cụ thể
Bước đặt lại mật khẩu</v>
      </c>
      <c r="E2" s="22" t="str">
        <f>CONCATENATE('P01'!C23, CHAR(10), 'P01'!C24)</f>
        <v>Không
Vì hệ thống luôn báo mật khẩu quá yếu</v>
      </c>
    </row>
    <row r="3">
      <c r="A3" s="6" t="s">
        <v>18</v>
      </c>
      <c r="B3" s="22" t="str">
        <f>CONCATENATE('P02'!C17, CHAR(10), 'P02'!C18)</f>
        <v>Hiểu. Nhưng lúc đổi mật khẩu không có chức năng bật /tắt hiện thị mật khẩu nên khó kiểm tra mật khẩu, nên có thêm điền 2 lần mật khẩu để kiểm tra. Lỗi hiện thị lúc đăng nhập ( hiện thị là đăng kí dù bấm vào đăng nhập). Thiếu chức hiện thị màu để kiểm tra độ mạnh yếu của mặt khẩu 
bước nhận Mã OTP dễ hiểu  và khó hiểu là bước đặt lại mật khẩu để thoả điều kiện mật khẩu</v>
      </c>
      <c r="C3" s="22" t="str">
        <f>CONCATENATE('P02'!C19, CHAR(10), 'P02'!C20)</f>
        <v>Thông báo nhập sai, không tồn tại 
Hiểu lỗi nhưng không đổi được mật khẩu (điều kiện của mật khẩu)</v>
      </c>
      <c r="D3" s="22" t="str">
        <f>CONCATENATE('P02'!C21, CHAR(10), 'P02'!C22)</f>
        <v>Không đổi được mật khẩu
Đặt mật khẩu</v>
      </c>
      <c r="E3" s="22" t="str">
        <f>CONCATENATE('P02'!C23, CHAR(10), 'P02'!C24)</f>
        <v>Không đổi được mật khẩu
Không đổi được mật khẩu</v>
      </c>
    </row>
    <row r="4">
      <c r="A4" s="6" t="s">
        <v>36</v>
      </c>
      <c r="B4" s="22" t="str">
        <f>CONCATENATE('P03'!C17, CHAR(10), 'P03'!C18)</f>
        <v>Hiểu. Để đặt mật khẩu mới khi
quên mật khẩu thì tôi cần đăng 
nhập vào email -&gt; nhập OTP -&gt; 
thiết lập mật khẩu mới
Bước nhập mã OTP dễ hiểu vì hiển
ứng dụng hiển thị rõ ràng, còn ở
bước đặt mật khẩu mới thì không 
hiểu tại sao bị lỗi</v>
      </c>
      <c r="C4" s="22" t="str">
        <f>CONCATENATE('P03'!C19, CHAR(10), 'P03'!C20)</f>
        <v>Thông báo nhập k hợp lệ
Có. Phải tuân theo các nguyên 
tắc đặt mật khẩu ở trên thông báo</v>
      </c>
      <c r="D4" s="22" t="str">
        <f>CONCATENATE('P03'!C21, CHAR(10), 'P03'!C22)</f>
        <v>Có
Đặt mật khẩu mới vì phải 
đúng theo các nguyên tắc</v>
      </c>
      <c r="E4" s="22" t="str">
        <f>CONCATENATE('P03'!C23, CHAR(10), 'P03'!C24)</f>
        <v>Không
Vì tôi không thể thiết lập mật
khẩu mới</v>
      </c>
    </row>
    <row r="5">
      <c r="A5" s="6" t="s">
        <v>47</v>
      </c>
      <c r="B5" s="22" t="str">
        <f>CONCATENATE('P04'!C17, CHAR(10), 'P04'!C18)</f>
        <v>Tôi thấy minh biết cần làm gì nhờ các hiển thị trên website, bước nhập lại mật khẩu mới làm tôi thấy phân vân sao nhập đúng rồi mà vẫn không được
Bước nhập mật khẩu mới khiến tôi khó hiểu nhất</v>
      </c>
      <c r="C5" s="22" t="str">
        <f>CONCATENATE('P04'!C19, CHAR(10), 'P04'!C20)</f>
        <v>Tôi quên luôn mật khẩu nên chưa có dịp để kiểm tra cái này
Chưa có cơ hội được thấy</v>
      </c>
      <c r="D5" s="22" t="str">
        <f>CONCATENATE('P04'!C21, CHAR(10), 'P04'!C22)</f>
        <v>Tôi thấy cũng nhanh mà bị vấn đề là không đặt lại mật khẩu mới được làm tôi mất thời gian tìm kĩ thuật hỗ trợ
Bước nhập mất khẩu mới</v>
      </c>
      <c r="E5" s="22" t="str">
        <f>CONCATENATE('P04'!C23, CHAR(10), 'P04'!C24)</f>
        <v>Tôi chưa thực hiện được việc đổi mật khẩu thành công
Tôi thấy tôi đổi mật khẩu không được do cứ báo lỗi mật khẩu yếu</v>
      </c>
    </row>
    <row r="6">
      <c r="A6" s="6" t="s">
        <v>57</v>
      </c>
      <c r="B6" s="22" t="str">
        <f>CONCATENATE('P05'!C17, CHAR(10), 'P05'!C18)</f>
        <v>Hiểu quả trình làm ở quy trình Quên mật khẩu do đã tiếp xúc rất nhiều trang web
Quy trình Quên mật khẩu rõ ràng nhập Email để trả về OTP, nhưng còn mơ hồ là OTP hiện thẳng lên UI</v>
      </c>
      <c r="C6" s="22" t="str">
        <f>CONCATENATE('P05'!C19, CHAR(10), 'P05'!C20)</f>
        <v>Pop-up hệ thống hiện ra để người dùng chỉnh sửa liền
Hiểu rõ nội dung</v>
      </c>
      <c r="D6" s="22" t="str">
        <f>CONCATENATE('P05'!C21, CHAR(10), 'P05'!C22)</f>
        <v>Không do nhập kiểu nào cũng không cho đổi
Nhập mật khẩu mới</v>
      </c>
      <c r="E6" s="22" t="str">
        <f>CONCATENATE('P05'!C23, CHAR(10), 'P05'!C24)</f>
        <v>Không 
Tại vì không đổi được mật khẩu dù đặt theo quy định rồi</v>
      </c>
    </row>
    <row r="7">
      <c r="A7" s="6" t="s">
        <v>60</v>
      </c>
      <c r="B7" s="22" t="str">
        <f>CONCATENATE('P06'!C17, CHAR(10), 'P06'!C18)</f>
        <v>Hiểu, quy trình khá đơn giản
Tại sao OTP không gửi về email mà hiện lên màn hình</v>
      </c>
      <c r="C7" s="22" t="str">
        <f>CONCATENATE('P06'!C19, CHAR(10), 'P06'!C20)</f>
        <v>Tôi chưa thử nên không biết
Tôi chưa thử nên không biết</v>
      </c>
      <c r="D7" s="22" t="str">
        <f>CONCATENATE('P06'!C21, CHAR(10), 'P06'!C22)</f>
        <v>Không, do tôi không nhập mật khẩu mới được mặc dù đã điền đúng quy định
Bước nhập mật khẩu mới</v>
      </c>
      <c r="E7" s="22" t="str">
        <f>CONCATENATE('P06'!C23, CHAR(10), 'P06'!C24)</f>
        <v>Tôi không biết, tôi không thể thực hiện bước tiếp theo
Tôi nhập đúng quy định nhưng hệ thống không xác nhận</v>
      </c>
    </row>
    <row r="8">
      <c r="A8" s="6" t="s">
        <v>63</v>
      </c>
      <c r="B8" s="22" t="str">
        <f>CONCATENATE('P07'!C17, CHAR(10), 'P07'!C18)</f>
        <v>các bước khá rõ ràng, không cần làm rõ
mình thấy các bước rõ ràng, không có bước nào mơ hồ</v>
      </c>
      <c r="C8" s="22" t="str">
        <f>CONCATENATE('P07'!C19, CHAR(10), 'P07'!C20)</f>
        <v>khi sai email mình thấy hệ thống có báo không tìm thấy user, đúng ý mình
mình có</v>
      </c>
      <c r="D8" s="22" t="str">
        <f>CONCATENATE('P07'!C21, CHAR(10), 'P07'!C22)</f>
        <v>có, quá trình nhanh chóng
bước đặt lại mật khẩu, cần phải biết là mật khẩu phải thoả mãn validation</v>
      </c>
      <c r="E8" s="22" t="str">
        <f>CONCATENATE('P07'!C23, CHAR(10), 'P07'!C24)</f>
        <v>mình không chắc, tại web lỗi không validate mật khẩu được
tại vì mình không validate được mật khẩu dù đã đúng các tiêu chí web cảnh báo</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72B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16.25"/>
    <col customWidth="1" min="3" max="3" width="15.25"/>
    <col customWidth="1" min="4" max="4" width="16.0"/>
    <col customWidth="1" min="5" max="5" width="18.38"/>
    <col customWidth="1" min="6" max="6" width="16.25"/>
    <col customWidth="1" min="7" max="7" width="36.13"/>
  </cols>
  <sheetData>
    <row r="1">
      <c r="A1" s="3" t="s">
        <v>1</v>
      </c>
      <c r="B1" s="3" t="s">
        <v>24</v>
      </c>
      <c r="C1" s="3" t="s">
        <v>31</v>
      </c>
      <c r="D1" s="3" t="s">
        <v>153</v>
      </c>
      <c r="E1" s="3" t="s">
        <v>154</v>
      </c>
      <c r="F1" s="3" t="s">
        <v>44</v>
      </c>
      <c r="G1" s="3" t="s">
        <v>155</v>
      </c>
    </row>
    <row r="2">
      <c r="A2" s="6" t="s">
        <v>15</v>
      </c>
      <c r="B2" s="25">
        <f>'P01'!F5</f>
        <v>0.4375</v>
      </c>
      <c r="C2" s="25">
        <f>'P01'!F6</f>
        <v>0.4583333333</v>
      </c>
      <c r="D2" s="28">
        <f t="shared" ref="D2:D8" si="1">IF(OR(ISBLANK(B2), ISBLANK(C2)), "", ROUND((C2-B2)*1440, 0))</f>
        <v>30</v>
      </c>
      <c r="E2" s="30" t="str">
        <f>'P01'!F7</f>
        <v>N</v>
      </c>
      <c r="F2" s="30">
        <f>'P01'!F8</f>
        <v>0</v>
      </c>
      <c r="G2" s="6" t="s">
        <v>180</v>
      </c>
    </row>
    <row r="3">
      <c r="A3" s="6" t="s">
        <v>18</v>
      </c>
      <c r="B3" s="25">
        <f>'P02'!F5</f>
        <v>0.875</v>
      </c>
      <c r="C3" s="25">
        <f>'P02'!F6</f>
        <v>0.8888888889</v>
      </c>
      <c r="D3" s="28">
        <f t="shared" si="1"/>
        <v>20</v>
      </c>
      <c r="E3" s="30" t="str">
        <f>'P02'!F7</f>
        <v>N</v>
      </c>
      <c r="F3" s="30">
        <f>'P02'!F8</f>
        <v>0</v>
      </c>
      <c r="G3" s="6" t="s">
        <v>180</v>
      </c>
    </row>
    <row r="4">
      <c r="A4" s="6" t="s">
        <v>36</v>
      </c>
      <c r="B4" s="25">
        <f>'P03'!F5</f>
        <v>0.4791666667</v>
      </c>
      <c r="C4" s="25">
        <f>'P03'!F6</f>
        <v>0.4930555556</v>
      </c>
      <c r="D4" s="28">
        <f t="shared" si="1"/>
        <v>20</v>
      </c>
      <c r="E4" s="30" t="str">
        <f>'P03'!F7</f>
        <v>N</v>
      </c>
      <c r="F4" s="30">
        <f>'P03'!F8</f>
        <v>0</v>
      </c>
      <c r="G4" s="6" t="s">
        <v>180</v>
      </c>
    </row>
    <row r="5">
      <c r="A5" s="6" t="s">
        <v>47</v>
      </c>
      <c r="B5" s="25">
        <f>'P04'!F5</f>
        <v>0.6458333333</v>
      </c>
      <c r="C5" s="25">
        <f>'P04'!F6</f>
        <v>0.6611111111</v>
      </c>
      <c r="D5" s="28">
        <f t="shared" si="1"/>
        <v>22</v>
      </c>
      <c r="E5" s="30" t="str">
        <f>'P04'!F7</f>
        <v>N</v>
      </c>
      <c r="F5" s="30">
        <f>'P04'!F8</f>
        <v>0</v>
      </c>
      <c r="G5" s="6" t="s">
        <v>180</v>
      </c>
    </row>
    <row r="6">
      <c r="A6" s="6" t="s">
        <v>57</v>
      </c>
      <c r="B6" s="25">
        <f>'P05'!F5</f>
        <v>0.4305555556</v>
      </c>
      <c r="C6" s="25">
        <f>'P05'!F6</f>
        <v>0.4375</v>
      </c>
      <c r="D6" s="28">
        <f t="shared" si="1"/>
        <v>10</v>
      </c>
      <c r="E6" s="30" t="str">
        <f>'P05'!F7</f>
        <v>N</v>
      </c>
      <c r="F6" s="30">
        <f>'P05'!F8</f>
        <v>0</v>
      </c>
      <c r="G6" s="6" t="s">
        <v>180</v>
      </c>
    </row>
    <row r="7">
      <c r="A7" s="6" t="s">
        <v>60</v>
      </c>
      <c r="B7" s="25">
        <f>'P06'!F5</f>
        <v>0.8993055556</v>
      </c>
      <c r="C7" s="25">
        <f>'P06'!F6</f>
        <v>0.90625</v>
      </c>
      <c r="D7" s="28">
        <f t="shared" si="1"/>
        <v>10</v>
      </c>
      <c r="E7" s="30" t="str">
        <f>'P06'!F7</f>
        <v>N</v>
      </c>
      <c r="F7" s="30">
        <f>'P06'!F8</f>
        <v>0</v>
      </c>
      <c r="G7" s="6" t="s">
        <v>180</v>
      </c>
    </row>
    <row r="8">
      <c r="A8" s="6" t="s">
        <v>63</v>
      </c>
      <c r="B8" s="25">
        <f>'P07'!F5</f>
        <v>0.625</v>
      </c>
      <c r="C8" s="25">
        <f>'P07'!F6</f>
        <v>0.6458333333</v>
      </c>
      <c r="D8" s="28">
        <f t="shared" si="1"/>
        <v>30</v>
      </c>
      <c r="E8" s="30" t="str">
        <f>'P07'!F7</f>
        <v>N</v>
      </c>
      <c r="F8" s="30">
        <f>'P07'!F8</f>
        <v>0</v>
      </c>
      <c r="G8" s="6" t="s">
        <v>180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72BC"/>
    <outlinePr summaryBelow="0" summaryRight="0"/>
  </sheetPr>
  <sheetViews>
    <sheetView workbookViewId="0"/>
  </sheetViews>
  <sheetFormatPr customHeight="1" defaultColWidth="12.63" defaultRowHeight="15.75"/>
  <cols>
    <col customWidth="1" min="1" max="1" width="15.5"/>
    <col customWidth="1" min="2" max="2" width="69.13"/>
    <col customWidth="1" min="3" max="3" width="27.25"/>
    <col customWidth="1" min="4" max="4" width="28.5"/>
    <col customWidth="1" min="5" max="5" width="24.75"/>
    <col customWidth="1" min="6" max="6" width="50.75"/>
    <col customWidth="1" min="7" max="7" width="93.63"/>
  </cols>
  <sheetData>
    <row r="1">
      <c r="A1" s="3" t="s">
        <v>156</v>
      </c>
      <c r="B1" s="23" t="s">
        <v>157</v>
      </c>
      <c r="C1" s="3" t="s">
        <v>159</v>
      </c>
      <c r="D1" s="3" t="s">
        <v>160</v>
      </c>
      <c r="E1" s="3" t="s">
        <v>161</v>
      </c>
      <c r="F1" s="3" t="s">
        <v>163</v>
      </c>
      <c r="G1" s="3" t="s">
        <v>165</v>
      </c>
    </row>
    <row r="2">
      <c r="A2" s="10" t="s">
        <v>167</v>
      </c>
      <c r="B2" s="27" t="s">
        <v>168</v>
      </c>
      <c r="C2" s="10" t="s">
        <v>172</v>
      </c>
      <c r="D2" s="10" t="s">
        <v>173</v>
      </c>
      <c r="E2" s="10" t="s">
        <v>174</v>
      </c>
      <c r="F2" s="29" t="s">
        <v>175</v>
      </c>
      <c r="G2" s="29" t="s">
        <v>177</v>
      </c>
    </row>
    <row r="3">
      <c r="A3" s="10" t="s">
        <v>181</v>
      </c>
      <c r="B3" s="27" t="s">
        <v>182</v>
      </c>
      <c r="C3" s="10" t="s">
        <v>183</v>
      </c>
      <c r="D3" s="10" t="s">
        <v>173</v>
      </c>
      <c r="E3" s="10" t="s">
        <v>184</v>
      </c>
      <c r="F3" s="29" t="s">
        <v>185</v>
      </c>
      <c r="G3" s="29" t="s">
        <v>186</v>
      </c>
    </row>
    <row r="4">
      <c r="A4" s="10"/>
      <c r="B4" s="27"/>
      <c r="C4" s="10"/>
      <c r="D4" s="10"/>
      <c r="E4" s="10"/>
      <c r="F4" s="10"/>
      <c r="G4" s="10"/>
    </row>
    <row r="5">
      <c r="A5" s="33"/>
      <c r="B5" s="33"/>
      <c r="C5" s="33"/>
      <c r="D5" s="33"/>
      <c r="E5" s="33"/>
      <c r="F5" s="33"/>
      <c r="G5" s="33"/>
    </row>
    <row r="6">
      <c r="A6" s="33"/>
      <c r="B6" s="33"/>
      <c r="C6" s="33"/>
      <c r="D6" s="33"/>
      <c r="E6" s="33"/>
      <c r="F6" s="33"/>
      <c r="G6" s="33"/>
    </row>
    <row r="7">
      <c r="A7" s="33"/>
      <c r="B7" s="33"/>
      <c r="C7" s="33"/>
      <c r="D7" s="33"/>
      <c r="E7" s="33"/>
      <c r="F7" s="33"/>
      <c r="G7" s="33"/>
    </row>
    <row r="8">
      <c r="A8" s="33"/>
      <c r="B8" s="33"/>
      <c r="C8" s="33"/>
      <c r="D8" s="33"/>
      <c r="E8" s="33"/>
      <c r="F8" s="33"/>
      <c r="G8" s="33"/>
    </row>
  </sheetData>
  <hyperlinks>
    <hyperlink r:id="rId1" ref="F2"/>
    <hyperlink r:id="rId2" ref="G2"/>
    <hyperlink r:id="rId3" ref="F3"/>
    <hyperlink r:id="rId4" ref="G3"/>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00"/>
    <outlinePr summaryBelow="0" summaryRight="0"/>
  </sheetPr>
  <sheetViews>
    <sheetView workbookViewId="0"/>
  </sheetViews>
  <sheetFormatPr customHeight="1" defaultColWidth="12.63" defaultRowHeight="15.75"/>
  <cols>
    <col customWidth="1" min="1" max="1" width="30.5"/>
    <col customWidth="1" min="2" max="2" width="16.0"/>
    <col customWidth="1" min="3" max="3" width="19.25"/>
  </cols>
  <sheetData>
    <row r="1">
      <c r="A1" s="24" t="s">
        <v>158</v>
      </c>
    </row>
    <row r="3">
      <c r="A3" s="26" t="s">
        <v>162</v>
      </c>
      <c r="B3" s="15" t="s">
        <v>164</v>
      </c>
    </row>
    <row r="4">
      <c r="A4" s="26" t="s">
        <v>166</v>
      </c>
      <c r="B4" s="15">
        <v>2.3127148E7</v>
      </c>
    </row>
    <row r="5">
      <c r="A5" s="26" t="s">
        <v>169</v>
      </c>
      <c r="B5" s="15" t="s">
        <v>170</v>
      </c>
    </row>
    <row r="6">
      <c r="A6" s="26" t="s">
        <v>171</v>
      </c>
      <c r="B6" s="16" t="s">
        <v>55</v>
      </c>
    </row>
    <row r="7">
      <c r="A7" s="26" t="s">
        <v>176</v>
      </c>
      <c r="B7" s="8" t="s">
        <v>25</v>
      </c>
    </row>
    <row r="8">
      <c r="A8" s="8" t="s">
        <v>178</v>
      </c>
    </row>
    <row r="10">
      <c r="A10" s="15" t="s">
        <v>1</v>
      </c>
      <c r="B10" s="15" t="s">
        <v>71</v>
      </c>
      <c r="C10" s="15" t="s">
        <v>37</v>
      </c>
      <c r="D10" s="15" t="s">
        <v>179</v>
      </c>
    </row>
    <row r="11">
      <c r="A11" s="15" t="s">
        <v>15</v>
      </c>
      <c r="B11" s="31">
        <f>'P01'!F12</f>
        <v>12.5</v>
      </c>
      <c r="C11" s="31" t="str">
        <f>'P01'!F7</f>
        <v>N</v>
      </c>
      <c r="D11" s="32">
        <f>IF(OR(ISBLANK('P01'!F5), ISBLANK('P01'!F6)), "", ROUND(('P01'!F6-'P01'!F5)*1440, 0))</f>
        <v>30</v>
      </c>
    </row>
    <row r="12">
      <c r="A12" s="15" t="s">
        <v>18</v>
      </c>
      <c r="B12" s="31">
        <f>'P02'!F12</f>
        <v>47.5</v>
      </c>
      <c r="C12" s="31" t="str">
        <f>'P02'!F7</f>
        <v>N</v>
      </c>
      <c r="D12" s="32">
        <f>IF(OR(ISBLANK('P02'!F5), ISBLANK('P02'!F6)), "", ROUND(('P02'!F6-'P02'!F5)*1440, 0))</f>
        <v>20</v>
      </c>
    </row>
    <row r="13">
      <c r="A13" s="15" t="s">
        <v>36</v>
      </c>
      <c r="B13" s="31">
        <f>'P03'!F12</f>
        <v>62.5</v>
      </c>
      <c r="C13" s="31" t="str">
        <f>'P03'!F7</f>
        <v>N</v>
      </c>
      <c r="D13" s="32">
        <f>IF(OR(ISBLANK('P03'!F5), ISBLANK('P03'!F6)), "", ROUND(('P03'!F6-'P03'!F5)*1440, 0))</f>
        <v>20</v>
      </c>
    </row>
    <row r="14">
      <c r="A14" s="15" t="s">
        <v>47</v>
      </c>
      <c r="B14" s="31">
        <f>'P04'!F12</f>
        <v>37.5</v>
      </c>
      <c r="C14" s="31" t="str">
        <f>'P04'!F7</f>
        <v>N</v>
      </c>
      <c r="D14" s="32">
        <f>IF(OR(ISBLANK('P04'!F5), ISBLANK('P04'!F6)), "", ROUND(('P04'!F6-'P04'!F5)*1440, 0))</f>
        <v>22</v>
      </c>
    </row>
    <row r="15">
      <c r="A15" s="15" t="s">
        <v>57</v>
      </c>
      <c r="B15" s="31">
        <f>'P05'!F12</f>
        <v>47.5</v>
      </c>
      <c r="C15" s="31" t="str">
        <f>'P05'!F7</f>
        <v>N</v>
      </c>
      <c r="D15" s="32">
        <f>IF(OR(ISBLANK('P05'!F5), ISBLANK('P05'!F6)), "", ROUND(('P05'!F6-'P05'!F5)*1440, 0))</f>
        <v>10</v>
      </c>
    </row>
    <row r="16">
      <c r="A16" s="15" t="s">
        <v>60</v>
      </c>
      <c r="B16" s="31">
        <f>'P06'!F12</f>
        <v>42.5</v>
      </c>
      <c r="C16" s="31" t="str">
        <f>'P06'!F7</f>
        <v>N</v>
      </c>
      <c r="D16" s="32">
        <f>IF(OR(ISBLANK('P06'!F5), ISBLANK('P06'!F6)), "", ROUND(('P06'!F6-'P06'!F5)*1440, 0))</f>
        <v>10</v>
      </c>
    </row>
    <row r="17">
      <c r="A17" s="15" t="s">
        <v>63</v>
      </c>
      <c r="B17" s="31">
        <f>'P07'!F12</f>
        <v>77.5</v>
      </c>
      <c r="C17" s="31" t="str">
        <f>'P07'!F7</f>
        <v>N</v>
      </c>
      <c r="D17" s="32">
        <f>IF(OR(ISBLANK('P07'!F5), ISBLANK('P07'!F6)), "", ROUND(('P07'!F6-'P07'!F5)*1440, 0))</f>
        <v>30</v>
      </c>
    </row>
    <row r="18">
      <c r="A18" s="8" t="s">
        <v>187</v>
      </c>
      <c r="B18" s="14">
        <f>IFERROR(AVERAGE(B11:B17), "")</f>
        <v>46.78571429</v>
      </c>
    </row>
    <row r="20">
      <c r="A20" s="8" t="s">
        <v>188</v>
      </c>
      <c r="C20" s="14" t="str">
        <f>IF(B18="","",IF(B18&lt;51,"Poor",IF(B18&lt;68,"OK",IF(B18&lt;80,"Good",IF(B18&lt;=84,"Excellent","Best Imaginable")))))</f>
        <v>Poor</v>
      </c>
    </row>
    <row r="21">
      <c r="A21" s="8" t="s">
        <v>189</v>
      </c>
      <c r="C21" s="14" t="str">
        <f>IF(B18="","",IF(B18&lt;51,"Not Acceptable",IF(B18&lt;=70,"Marginal","Acceptable")))</f>
        <v>Not Acceptable</v>
      </c>
    </row>
  </sheetData>
  <mergeCells count="1">
    <mergeCell ref="A1:D1"/>
  </mergeCells>
  <conditionalFormatting sqref="B11:B17">
    <cfRule type="expression" dxfId="0" priority="1" stopIfTrue="1">
      <formula>AND(NOT(ISBLANK(B11)), B11&gt;=68)</formula>
    </cfRule>
  </conditionalFormatting>
  <conditionalFormatting sqref="B11:B17">
    <cfRule type="expression" dxfId="1" priority="2" stopIfTrue="1">
      <formula>AND(NOT(ISBLANK(B11)), B11&lt;68)</formula>
    </cfRule>
  </conditionalFormatting>
  <hyperlinks>
    <hyperlink r:id="rId1" ref="B6"/>
  </hyperlinks>
  <drawing r:id="rId2"/>
</worksheet>
</file>