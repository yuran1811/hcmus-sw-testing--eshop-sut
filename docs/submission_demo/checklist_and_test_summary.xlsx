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hecklist" sheetId="1" state="visible" r:id="rId3"/>
    <sheet name="Test Summary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<sst xmlns="http://schemas.openxmlformats.org/spreadsheetml/2006/main" count="56" uniqueCount="41">
  <si>
    <t xml:space="preserve">#</t>
  </si>
  <si>
    <t xml:space="preserve">IA Aspect</t>
  </si>
  <si>
    <t xml:space="preserve">Item Description</t>
  </si>
  <si>
    <t xml:space="preserve">Source (AI/Student)</t>
  </si>
  <si>
    <t xml:space="preserve">Status (Passed/Failed)</t>
  </si>
  <si>
    <t xml:space="preserve">Notes (if Failed)</t>
  </si>
  <si>
    <t xml:space="preserve">Screenshot</t>
  </si>
  <si>
    <t xml:space="preserve">IA-01</t>
  </si>
  <si>
    <t xml:space="preserve">Button styling is consistent across the screen (color, size, border-radius)</t>
  </si>
  <si>
    <t xml:space="preserve">AI</t>
  </si>
  <si>
    <t xml:space="preserve">Passed</t>
  </si>
  <si>
    <t xml:space="preserve">Typography hierarchy (H1/H2/body) is visually distinct and consistent</t>
  </si>
  <si>
    <t xml:space="preserve">IA-02</t>
  </si>
  <si>
    <t xml:space="preserve">Required fields are marked with a consistent visual indicator (e.g. *)</t>
  </si>
  <si>
    <t xml:space="preserve">Failed</t>
  </si>
  <si>
    <t xml:space="preserve">No asterisk or label shown for required Address field</t>
  </si>
  <si>
    <t xml:space="preserve">screenshots/IA02_item03_failed.png</t>
  </si>
  <si>
    <t xml:space="preserve">Inline validation errors appear next to the specific field, not only at top of form</t>
  </si>
  <si>
    <t xml:space="preserve">Error only shown in a top banner, not next to field</t>
  </si>
  <si>
    <t xml:space="preserve">screenshots/IA02_item04_failed.png</t>
  </si>
  <si>
    <t xml:space="preserve">IA-03</t>
  </si>
  <si>
    <t xml:space="preserve">Active navigation item is visually highlighted</t>
  </si>
  <si>
    <t xml:space="preserve">IA-04</t>
  </si>
  <si>
    <t xml:space="preserve">Loading state (spinner/skeleton) shown during checkout submission</t>
  </si>
  <si>
    <t xml:space="preserve">Focus indicator visible when tabbing through interactive elements (keyboard accessibility)</t>
  </si>
  <si>
    <t xml:space="preserve">Student (AI missed accessibility)</t>
  </si>
  <si>
    <t xml:space="preserve">No visible focus ring on buttons</t>
  </si>
  <si>
    <t xml:space="preserve">screenshots/IA01_item07_failed.png</t>
  </si>
  <si>
    <t xml:space="preserve">Metric</t>
  </si>
  <si>
    <t xml:space="preserve">Value</t>
  </si>
  <si>
    <t xml:space="preserve">Formula/Note</t>
  </si>
  <si>
    <t xml:space="preserve">Total checklist items</t>
  </si>
  <si>
    <t xml:space="preserve">Auto: counts non-empty IA rows</t>
  </si>
  <si>
    <t xml:space="preserve">Pass rate (%)</t>
  </si>
  <si>
    <t xml:space="preserve">Passed / (Passed+Failed) * 100</t>
  </si>
  <si>
    <t xml:space="preserve">IA-01 items</t>
  </si>
  <si>
    <t xml:space="preserve">IA-02 items</t>
  </si>
  <si>
    <t xml:space="preserve">IA-03 items</t>
  </si>
  <si>
    <t xml:space="preserve">IA-04 items</t>
  </si>
  <si>
    <t xml:space="preserve">Total bugs filed (GitHub Issues)</t>
  </si>
  <si>
    <t xml:space="preserve">Điền tay theo số Issue thật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</si>
</sst>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2"/>
    <col collapsed="false" customWidth="true" hidden="false" outlineLevel="0" max="3" min="3" style="0" width="45"/>
    <col collapsed="false" customWidth="true" hidden="false" outlineLevel="0" max="4" min="4" style="0" width="20"/>
    <col collapsed="false" customWidth="true" hidden="false" outlineLevel="0" max="5" min="5" style="0" width="18"/>
    <col collapsed="false" customWidth="true" hidden="false" outlineLevel="0" max="6" min="6" style="0" width="35"/>
    <col collapsed="false" customWidth="true" hidden="false" outlineLevel="0" max="7" min="7" style="0" width="28"/>
  </cols>
  <sheetData>
    <row r="1" customFormat="false" ht="26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0" t="n">
        <v>1</v>
      </c>
      <c r="B2" s="0" t="s">
        <v>7</v>
      </c>
      <c r="C2" s="0" t="s">
        <v>8</v>
      </c>
      <c r="D2" s="0" t="s">
        <v>9</v>
      </c>
      <c r="E2" s="0" t="s">
        <v>10</v>
      </c>
    </row>
    <row r="3" customFormat="false" ht="15" hidden="false" customHeight="false" outlineLevel="0" collapsed="false">
      <c r="A3" s="0" t="n">
        <v>2</v>
      </c>
      <c r="B3" s="0" t="s">
        <v>7</v>
      </c>
      <c r="C3" s="0" t="s">
        <v>11</v>
      </c>
      <c r="D3" s="0" t="s">
        <v>9</v>
      </c>
      <c r="E3" s="0" t="s">
        <v>10</v>
      </c>
    </row>
    <row r="4" customFormat="false" ht="15" hidden="false" customHeight="false" outlineLevel="0" collapsed="false">
      <c r="A4" s="0" t="n">
        <v>3</v>
      </c>
      <c r="B4" s="0" t="s">
        <v>12</v>
      </c>
      <c r="C4" s="0" t="s">
        <v>13</v>
      </c>
      <c r="D4" s="0" t="s">
        <v>9</v>
      </c>
      <c r="E4" s="0" t="s">
        <v>14</v>
      </c>
      <c r="F4" s="0" t="s">
        <v>15</v>
      </c>
      <c r="G4" s="0" t="s">
        <v>16</v>
      </c>
    </row>
    <row r="5" customFormat="false" ht="15" hidden="false" customHeight="false" outlineLevel="0" collapsed="false">
      <c r="A5" s="0" t="n">
        <v>4</v>
      </c>
      <c r="B5" s="0" t="s">
        <v>12</v>
      </c>
      <c r="C5" s="0" t="s">
        <v>17</v>
      </c>
      <c r="D5" s="0" t="s">
        <v>9</v>
      </c>
      <c r="E5" s="0" t="s">
        <v>14</v>
      </c>
      <c r="F5" s="0" t="s">
        <v>18</v>
      </c>
      <c r="G5" s="0" t="s">
        <v>19</v>
      </c>
    </row>
    <row r="6" customFormat="false" ht="15" hidden="false" customHeight="false" outlineLevel="0" collapsed="false">
      <c r="A6" s="0" t="n">
        <v>5</v>
      </c>
      <c r="B6" s="0" t="s">
        <v>20</v>
      </c>
      <c r="C6" s="0" t="s">
        <v>21</v>
      </c>
      <c r="D6" s="0" t="s">
        <v>9</v>
      </c>
      <c r="E6" s="0" t="s">
        <v>10</v>
      </c>
    </row>
    <row r="7" customFormat="false" ht="15" hidden="false" customHeight="false" outlineLevel="0" collapsed="false">
      <c r="A7" s="0" t="n">
        <v>6</v>
      </c>
      <c r="B7" s="0" t="s">
        <v>22</v>
      </c>
      <c r="C7" s="0" t="s">
        <v>23</v>
      </c>
      <c r="D7" s="0" t="s">
        <v>9</v>
      </c>
      <c r="E7" s="0" t="s">
        <v>10</v>
      </c>
    </row>
    <row r="8" customFormat="false" ht="15" hidden="false" customHeight="false" outlineLevel="0" collapsed="false">
      <c r="A8" s="0" t="n">
        <v>7</v>
      </c>
      <c r="B8" s="0" t="s">
        <v>7</v>
      </c>
      <c r="C8" s="0" t="s">
        <v>24</v>
      </c>
      <c r="D8" s="0" t="s">
        <v>25</v>
      </c>
      <c r="E8" s="0" t="s">
        <v>14</v>
      </c>
      <c r="F8" s="0" t="s">
        <v>26</v>
      </c>
      <c r="G8" s="0" t="s">
        <v>27</v>
      </c>
    </row>
    <row r="9" customFormat="false" ht="15" hidden="false" customHeight="false" outlineLevel="0" collapsed="false">
      <c r="A9" s="0" t="n">
        <v>9</v>
      </c>
    </row>
    <row r="10" customFormat="false" ht="15" hidden="false" customHeight="false" outlineLevel="0" collapsed="false">
      <c r="A10" s="0" t="n">
        <v>10</v>
      </c>
    </row>
    <row r="11" customFormat="false" ht="15" hidden="false" customHeight="false" outlineLevel="0" collapsed="false">
      <c r="A11" s="0" t="n">
        <v>11</v>
      </c>
    </row>
    <row r="12" customFormat="false" ht="15" hidden="false" customHeight="false" outlineLevel="0" collapsed="false">
      <c r="A12" s="0" t="n">
        <v>12</v>
      </c>
    </row>
    <row r="13" customFormat="false" ht="15" hidden="false" customHeight="false" outlineLevel="0" collapsed="false">
      <c r="A13" s="0" t="n">
        <v>13</v>
      </c>
    </row>
    <row r="14" customFormat="false" ht="15" hidden="false" customHeight="false" outlineLevel="0" collapsed="false">
      <c r="A14" s="0" t="n">
        <v>14</v>
      </c>
    </row>
    <row r="15" customFormat="false" ht="15" hidden="false" customHeight="false" outlineLevel="0" collapsed="false">
      <c r="A15" s="0" t="n">
        <v>15</v>
      </c>
    </row>
    <row r="16" customFormat="false" ht="15" hidden="false" customHeight="false" outlineLevel="0" collapsed="false">
      <c r="A16" s="0" t="n">
        <v>16</v>
      </c>
    </row>
    <row r="17" customFormat="false" ht="15" hidden="false" customHeight="false" outlineLevel="0" collapsed="false">
      <c r="A17" s="0" t="n">
        <v>17</v>
      </c>
    </row>
    <row r="18" customFormat="false" ht="15" hidden="false" customHeight="false" outlineLevel="0" collapsed="false">
      <c r="A18" s="0" t="n">
        <v>18</v>
      </c>
    </row>
    <row r="19" customFormat="false" ht="15" hidden="false" customHeight="false" outlineLevel="0" collapsed="false">
      <c r="A19" s="0" t="n">
        <v>19</v>
      </c>
    </row>
    <row r="20" customFormat="false" ht="15" hidden="false" customHeight="false" outlineLevel="0" collapsed="false">
      <c r="A20" s="0" t="n">
        <v>20</v>
      </c>
    </row>
    <row r="21" customFormat="false" ht="15" hidden="false" customHeight="false" outlineLevel="0" collapsed="false">
      <c r="A21" s="0" t="n">
        <v>21</v>
      </c>
    </row>
    <row r="22" customFormat="false" ht="15" hidden="false" customHeight="false" outlineLevel="0" collapsed="false">
      <c r="A22" s="0" t="n">
        <v>22</v>
      </c>
    </row>
    <row r="23" customFormat="false" ht="15" hidden="false" customHeight="false" outlineLevel="0" collapsed="false">
      <c r="A23" s="0" t="n">
        <v>23</v>
      </c>
    </row>
    <row r="24" customFormat="false" ht="15" hidden="false" customHeight="false" outlineLevel="0" collapsed="false">
      <c r="A24" s="0" t="n">
        <v>24</v>
      </c>
    </row>
    <row r="25" customFormat="false" ht="15" hidden="false" customHeight="false" outlineLevel="0" collapsed="false">
      <c r="A25" s="0" t="n">
        <v>25</v>
      </c>
    </row>
    <row r="26" customFormat="false" ht="15" hidden="false" customHeight="false" outlineLevel="0" collapsed="false">
      <c r="A26" s="0" t="n">
        <v>26</v>
      </c>
    </row>
    <row r="27" customFormat="false" ht="15" hidden="false" customHeight="false" outlineLevel="0" collapsed="false">
      <c r="A27" s="0" t="n">
        <v>27</v>
      </c>
    </row>
    <row r="28" customFormat="false" ht="15" hidden="false" customHeight="false" outlineLevel="0" collapsed="false">
      <c r="A28" s="0" t="n">
        <v>28</v>
      </c>
    </row>
    <row r="29" customFormat="false" ht="15" hidden="false" customHeight="false" outlineLevel="0" collapsed="false">
      <c r="A29" s="0" t="n">
        <v>29</v>
      </c>
    </row>
    <row r="30" customFormat="false" ht="15" hidden="false" customHeight="false" outlineLevel="0" collapsed="false">
      <c r="A30" s="0" t="n">
        <v>30</v>
      </c>
    </row>
    <row r="31" customFormat="false" ht="15" hidden="false" customHeight="false" outlineLevel="0" collapsed="false">
      <c r="A31" s="0" t="n">
        <v>31</v>
      </c>
    </row>
    <row r="32" customFormat="false" ht="15" hidden="false" customHeight="false" outlineLevel="0" collapsed="false">
      <c r="A32" s="0" t="n">
        <v>32</v>
      </c>
    </row>
    <row r="33" customFormat="false" ht="15" hidden="false" customHeight="false" outlineLevel="0" collapsed="false">
      <c r="A33" s="0" t="n">
        <v>33</v>
      </c>
    </row>
    <row r="34" customFormat="false" ht="15" hidden="false" customHeight="false" outlineLevel="0" collapsed="false">
      <c r="A34" s="0" t="n">
        <v>34</v>
      </c>
    </row>
    <row r="35" customFormat="false" ht="15" hidden="false" customHeight="false" outlineLevel="0" collapsed="false">
      <c r="A35" s="0" t="n">
        <v>35</v>
      </c>
    </row>
    <row r="36" customFormat="false" ht="15" hidden="false" customHeight="false" outlineLevel="0" collapsed="false">
      <c r="A36" s="0" t="n">
        <v>36</v>
      </c>
    </row>
    <row r="37" customFormat="false" ht="15" hidden="false" customHeight="false" outlineLevel="0" collapsed="false">
      <c r="A37" s="0" t="n">
        <v>37</v>
      </c>
    </row>
    <row r="38" customFormat="false" ht="15" hidden="false" customHeight="false" outlineLevel="0" collapsed="false">
      <c r="A38" s="0" t="n">
        <v>38</v>
      </c>
    </row>
    <row r="39" customFormat="false" ht="15" hidden="false" customHeight="false" outlineLevel="0" collapsed="false">
      <c r="A39" s="0" t="n">
        <v>39</v>
      </c>
    </row>
    <row r="40" customFormat="false" ht="15" hidden="false" customHeight="false" outlineLevel="0" collapsed="false">
      <c r="A40" s="0" t="n">
        <v>40</v>
      </c>
    </row>
    <row r="41" customFormat="false" ht="15" hidden="false" customHeight="false" outlineLevel="0" collapsed="false">
      <c r="A41" s="0" t="n">
        <v>41</v>
      </c>
    </row>
    <row r="42" customFormat="false" ht="15" hidden="false" customHeight="false" outlineLevel="0" collapsed="false">
      <c r="A42" s="0" t="n">
        <v>42</v>
      </c>
    </row>
    <row r="43" customFormat="false" ht="15" hidden="false" customHeight="false" outlineLevel="0" collapsed="false">
      <c r="A43" s="0" t="n">
        <v>43</v>
      </c>
    </row>
    <row r="44" customFormat="false" ht="15" hidden="false" customHeight="false" outlineLevel="0" collapsed="false">
      <c r="A44" s="0" t="n">
        <v>44</v>
      </c>
    </row>
    <row r="45" customFormat="false" ht="15" hidden="false" customHeight="false" outlineLevel="0" collapsed="false">
      <c r="A45" s="0" t="n">
        <v>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3" min="2" style="0" width="40"/>
  </cols>
  <sheetData>
    <row r="1" customFormat="false" ht="15" hidden="false" customHeight="false" outlineLevel="0" collapsed="false">
      <c r="A1" s="2" t="s">
        <v>28</v>
      </c>
      <c r="B1" s="2" t="s">
        <v>29</v>
      </c>
      <c r="C1" s="2" t="s">
        <v>30</v>
      </c>
    </row>
    <row r="2" customFormat="false" ht="15" hidden="false" customHeight="false" outlineLevel="0" collapsed="false">
      <c r="A2" s="0" t="s">
        <v>31</v>
      </c>
      <c r="B2" s="0" t="n">
        <f aca="false">COUNTA(Checklist!A2:A46)-COUNTBLANK(Checklist!B2:B46)</f>
        <v>6</v>
      </c>
      <c r="C2" s="0" t="s">
        <v>32</v>
      </c>
    </row>
    <row r="3" customFormat="false" ht="15" hidden="false" customHeight="false" outlineLevel="0" collapsed="false">
      <c r="A3" s="0" t="s">
        <v>10</v>
      </c>
      <c r="B3" s="0" t="n">
        <f aca="false">COUNTIF(Checklist!E2:E46,"Passed")</f>
        <v>4</v>
      </c>
    </row>
    <row r="4" customFormat="false" ht="15" hidden="false" customHeight="false" outlineLevel="0" collapsed="false">
      <c r="A4" s="0" t="s">
        <v>14</v>
      </c>
      <c r="B4" s="0" t="n">
        <f aca="false">COUNTIF(Checklist!E2:E46,"Failed")</f>
        <v>3</v>
      </c>
    </row>
    <row r="5" customFormat="false" ht="15" hidden="false" customHeight="false" outlineLevel="0" collapsed="false">
      <c r="A5" s="0" t="s">
        <v>33</v>
      </c>
      <c r="B5" s="0" t="n">
        <f aca="false">IFERROR(B3/(B3+B4)*100,0)</f>
        <v>57.1428571428571</v>
      </c>
      <c r="C5" s="0" t="s">
        <v>34</v>
      </c>
    </row>
    <row r="6" customFormat="false" ht="15" hidden="false" customHeight="false" outlineLevel="0" collapsed="false">
      <c r="A6" s="0" t="s">
        <v>35</v>
      </c>
      <c r="B6" s="0" t="n">
        <f aca="false">COUNTIF(Checklist!B2:B46,"IA-01")</f>
        <v>3</v>
      </c>
    </row>
    <row r="7" customFormat="false" ht="15" hidden="false" customHeight="false" outlineLevel="0" collapsed="false">
      <c r="A7" s="0" t="s">
        <v>36</v>
      </c>
      <c r="B7" s="0" t="n">
        <f aca="false">COUNTIF(Checklist!B2:B46,"IA-02")</f>
        <v>2</v>
      </c>
    </row>
    <row r="8" customFormat="false" ht="15" hidden="false" customHeight="false" outlineLevel="0" collapsed="false">
      <c r="A8" s="0" t="s">
        <v>37</v>
      </c>
      <c r="B8" s="0" t="n">
        <f aca="false">COUNTIF(Checklist!B2:B46,"IA-03")</f>
        <v>1</v>
      </c>
    </row>
    <row r="9" customFormat="false" ht="15" hidden="false" customHeight="false" outlineLevel="0" collapsed="false">
      <c r="A9" s="0" t="s">
        <v>38</v>
      </c>
      <c r="B9" s="0" t="n">
        <f aca="false">COUNTIF(Checklist!B2:B46,"IA-04")</f>
        <v>1</v>
      </c>
    </row>
    <row r="10" customFormat="false" ht="15" hidden="false" customHeight="false" outlineLevel="0" collapsed="false">
      <c r="A10" s="0" t="s">
        <v>39</v>
      </c>
      <c r="B10" s="0" t="n">
        <v>0</v>
      </c>
      <c r="C10" s="0" t="s">
        <v>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2026-07-28T04:49:10Z</dcterms:created>
  <dc:creator>openpyxl</dc:creator>
  <dc:description/>
  <dc:language>en-US</dc:language>
  <cp:lastModifiedBy/>
  <dcterms:modified xsi:type="dcterms:W3CDTF">2026-07-28T04:49:10Z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